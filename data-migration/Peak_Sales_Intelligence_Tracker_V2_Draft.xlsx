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all_Queue" sheetId="2" state="visible" r:id="rId2"/>
    <sheet xmlns:r="http://schemas.openxmlformats.org/officeDocument/2006/relationships" name="Lead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Activities" sheetId="5" state="visible" r:id="rId5"/>
    <sheet xmlns:r="http://schemas.openxmlformats.org/officeDocument/2006/relationships" name="Follow_Ups" sheetId="6" state="visible" r:id="rId6"/>
    <sheet xmlns:r="http://schemas.openxmlformats.org/officeDocument/2006/relationships" name="Opportunities" sheetId="7" state="visible" r:id="rId7"/>
    <sheet xmlns:r="http://schemas.openxmlformats.org/officeDocument/2006/relationships" name="Customers" sheetId="8" state="visible" r:id="rId8"/>
    <sheet xmlns:r="http://schemas.openxmlformats.org/officeDocument/2006/relationships" name="Lead_Research" sheetId="9" state="visible" r:id="rId9"/>
    <sheet xmlns:r="http://schemas.openxmlformats.org/officeDocument/2006/relationships" name="Feature_Catalog" sheetId="10" state="visible" r:id="rId10"/>
    <sheet xmlns:r="http://schemas.openxmlformats.org/officeDocument/2006/relationships" name="Plan_Catalog" sheetId="11" state="visible" r:id="rId11"/>
    <sheet xmlns:r="http://schemas.openxmlformats.org/officeDocument/2006/relationships" name="Industry_Catalog" sheetId="12" state="visible" r:id="rId12"/>
    <sheet xmlns:r="http://schemas.openxmlformats.org/officeDocument/2006/relationships" name="Lead_Sources" sheetId="13" state="visible" r:id="rId13"/>
    <sheet xmlns:r="http://schemas.openxmlformats.org/officeDocument/2006/relationships" name="Objections" sheetId="14" state="visible" r:id="rId14"/>
    <sheet xmlns:r="http://schemas.openxmlformats.org/officeDocument/2006/relationships" name="Sales_Templates" sheetId="15" state="visible" r:id="rId15"/>
    <sheet xmlns:r="http://schemas.openxmlformats.org/officeDocument/2006/relationships" name="Scoring_Rules" sheetId="16" state="visible" r:id="rId16"/>
    <sheet xmlns:r="http://schemas.openxmlformats.org/officeDocument/2006/relationships" name="Sales_Analytics" sheetId="17" state="visible" r:id="rId17"/>
    <sheet xmlns:r="http://schemas.openxmlformats.org/officeDocument/2006/relationships" name="Activity_Analytics" sheetId="18" state="visible" r:id="rId18"/>
    <sheet xmlns:r="http://schemas.openxmlformats.org/officeDocument/2006/relationships" name="Conversion_Analytics" sheetId="19" state="visible" r:id="rId19"/>
    <sheet xmlns:r="http://schemas.openxmlformats.org/officeDocument/2006/relationships" name="Revenue_Analytics" sheetId="20" state="visible" r:id="rId20"/>
    <sheet xmlns:r="http://schemas.openxmlformats.org/officeDocument/2006/relationships" name="Locations" sheetId="21" state="visible" r:id="rId21"/>
    <sheet xmlns:r="http://schemas.openxmlformats.org/officeDocument/2006/relationships" name="Settings" sheetId="22" state="visible" r:id="rId22"/>
    <sheet xmlns:r="http://schemas.openxmlformats.org/officeDocument/2006/relationships" name="Dropdowns" sheetId="23" state="hidden" r:id="rId23"/>
    <sheet xmlns:r="http://schemas.openxmlformats.org/officeDocument/2006/relationships" name="Prospect_Discovery" sheetId="24" state="visible" r:id="rId24"/>
    <sheet xmlns:r="http://schemas.openxmlformats.org/officeDocument/2006/relationships" name="Research_Engine" sheetId="25" state="visible" r:id="rId25"/>
    <sheet xmlns:r="http://schemas.openxmlformats.org/officeDocument/2006/relationships" name="Relationship_Timeline" sheetId="26" state="visible" r:id="rId26"/>
  </sheets>
  <definedNames>
    <definedName name="Plan">Dropdowns!$P$2:$P$7</definedName>
    <definedName name="Website_Platform">Dropdowns!$N$2:$N$13</definedName>
    <definedName name="Website_Quality">Dropdowns!$J$2:$J$7</definedName>
    <definedName name="Lost_Reason">Dropdowns!$M$2:$M$11</definedName>
    <definedName name="Contact_Method">Dropdowns!$C$2:$C$10</definedName>
    <definedName name="Contact_Role">Dropdowns!$R$2:$R$12</definedName>
    <definedName name="Business_Type">Dropdowns!$S$2:$S$8</definedName>
    <definedName name="Priority">Dropdowns!$G$2:$G$6</definedName>
    <definedName name="Decision_Maker">Dropdowns!$H$2:$H$4</definedName>
    <definedName name="Lead_Source">Dropdowns!$B$2:$B$12</definedName>
    <definedName name="Pain_Point">Dropdowns!$L$2:$L$16</definedName>
    <definedName name="Currency">Dropdowns!$Q$2:$Q$3</definedName>
    <definedName name="Yes_No">Dropdowns!$I$2:$I$4</definedName>
    <definedName name="Lead_Status">Dropdowns!$A$2:$A$12</definedName>
    <definedName name="Activity_Type">Dropdowns!$D$2:$D$12</definedName>
    <definedName name="Business_Size">Dropdowns!$K$2:$K$7</definedName>
    <definedName name="Activity_Outcome">Dropdowns!$E$2:$E$17</definedName>
    <definedName name="Source_Quality">Dropdowns!$T$2:$T$6</definedName>
    <definedName name="Customer_Status">Dropdowns!$U$2:$U$6</definedName>
    <definedName name="Research_Quality">Dropdowns!$V$2:$V$5</definedName>
    <definedName name="Pipeline_Stage">Dropdowns!$F$2:$F$11</definedName>
    <definedName name="Z_6CD61D0F_41E6_46F9_BF06_E6425BFF6310_.wvu.FilterData" localSheetId="1" hidden="1">Call_Queue!$A$1:$O$51</definedName>
    <definedName name="_xlnm._FilterDatabase" localSheetId="1" hidden="1">'Call_Queue'!$A$1:$O$51</definedName>
    <definedName name="Z_407F88B8_888A_49F8_B723_CD71820689F9_.wvu.FilterData" localSheetId="2" hidden="1">Leads!$A$1:$BO$501</definedName>
    <definedName name="_xlnm._FilterDatabase" localSheetId="2" hidden="1">'Leads'!$A$1:$BO$501</definedName>
    <definedName name="Z_5672C413_CA24_4B1E_B977_DD8290D6A678_.wvu.FilterData" localSheetId="3" hidden="1">Contacts!$A$1:$N$501</definedName>
    <definedName name="_xlnm._FilterDatabase" localSheetId="3" hidden="1">'Contacts'!$A$1:$N$501</definedName>
    <definedName name="Z_AAC1C510_3BF6_46E3_8CCD_0035313505BB_.wvu.FilterData" localSheetId="4" hidden="1">Activities!$A$1:$P$1001</definedName>
    <definedName name="_xlnm._FilterDatabase" localSheetId="4" hidden="1">'Activities'!$A$1:$P$1001</definedName>
    <definedName name="Z_F9954D6F_349B_453C_80EF_DDE2AAB86204_.wvu.FilterData" localSheetId="5" hidden="1">Follow_Ups!$A$1:$M$1001</definedName>
    <definedName name="_xlnm._FilterDatabase" localSheetId="5" hidden="1">'Follow_Ups'!$A$1:$M$1001</definedName>
    <definedName name="Z_FAEBEA1B_A8CA_480A_AE41_C397B26E2963_.wvu.FilterData" localSheetId="6" hidden="1">Opportunities!$A$1:$Q$501</definedName>
    <definedName name="_xlnm._FilterDatabase" localSheetId="6" hidden="1">'Opportunities'!$A$1:$Q$501</definedName>
    <definedName name="Z_0E5A0C23_7B47_416B_98D8_57C4A22991C1_.wvu.FilterData" localSheetId="7" hidden="1">Customers!$A$1:$R$301</definedName>
    <definedName name="_xlnm._FilterDatabase" localSheetId="7" hidden="1">'Customers'!$A$1:$R$301</definedName>
    <definedName name="Z_50C9F52A_9880_4A98_AF82_178F4B759D54_.wvu.FilterData" localSheetId="8" hidden="1">Lead_Research!$A$1:$AB$501</definedName>
    <definedName name="_xlnm._FilterDatabase" localSheetId="8" hidden="1">'Lead_Research'!$A$1:$AB$501</definedName>
    <definedName name="Z_AC8B5CD9_BA51_4BD7_AFB3_E2B42AD3E3E5_.wvu.FilterData" localSheetId="9" hidden="1">Feature_Catalog!$A$1:$J$18</definedName>
    <definedName name="_xlnm._FilterDatabase" localSheetId="9" hidden="1">'Feature_Catalog'!$A$1:$J$18</definedName>
    <definedName name="Z_E89957F7_9755_417E_A6E6_BB56CEB8D037_.wvu.FilterData" localSheetId="10" hidden="1">Plan_Catalog!$A$1:$U$6</definedName>
    <definedName name="_xlnm._FilterDatabase" localSheetId="10" hidden="1">'Plan_Catalog'!$A$1:$U$6</definedName>
    <definedName name="Z_CB73A225_ED33_42C1_B241_CA02B1CDA9A2_.wvu.FilterData" localSheetId="11" hidden="1">Industry_Catalog!$A$1:$H$12</definedName>
    <definedName name="_xlnm._FilterDatabase" localSheetId="11" hidden="1">'Industry_Catalog'!$A$1:$H$12</definedName>
    <definedName name="Z_466AD514_917B_464D_9FE0_05CED443677A_.wvu.FilterData" localSheetId="12" hidden="1">Lead_Sources!$A$1:$E$9</definedName>
    <definedName name="_xlnm._FilterDatabase" localSheetId="12" hidden="1">'Lead_Sources'!$A$1:$E$9</definedName>
    <definedName name="Z_62EF7A09_2772_4038_99B9_CC7CD777EA5C_.wvu.FilterData" localSheetId="13" hidden="1">Objections!$A$1:$E$6</definedName>
    <definedName name="_xlnm._FilterDatabase" localSheetId="13" hidden="1">'Objections'!$A$1:$E$6</definedName>
    <definedName name="Z_7280E7C1_B972_40B7_8081_ED7BD8B003AB_.wvu.FilterData" localSheetId="14" hidden="1">Sales_Templates!$A$1:$F$5</definedName>
    <definedName name="_xlnm._FilterDatabase" localSheetId="14" hidden="1">'Sales_Templates'!$A$1:$F$5</definedName>
    <definedName name="Z_32B76A09_BBA9_4C55_A2E2_B7C90BA01F6E_.wvu.FilterData" localSheetId="15" hidden="1">Scoring_Rules!$A$1:$E$5</definedName>
    <definedName name="_xlnm._FilterDatabase" localSheetId="15" hidden="1">'Scoring_Rules'!$A$1:$E$5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 d, yyyy"/>
    <numFmt numFmtId="165" formatCode="$#,##0.00"/>
  </numFmts>
  <fonts count="9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cheme val="minor"/>
    </font>
    <font>
      <name val="Calibri"/>
      <b val="1"/>
      <color rgb="FFFFFFFF"/>
      <sz val="24"/>
      <scheme val="minor"/>
    </font>
    <font/>
    <font>
      <name val="Calibri"/>
      <b val="1"/>
      <color rgb="FF241B35"/>
      <sz val="16"/>
      <scheme val="minor"/>
    </font>
    <font>
      <name val="Calibri"/>
      <color theme="1"/>
      <sz val="11"/>
    </font>
    <font>
      <name val="Calibri"/>
      <b val="1"/>
      <color rgb="FF805AD5"/>
      <sz val="16"/>
      <scheme val="minor"/>
    </font>
    <font>
      <b val="1"/>
    </font>
  </fonts>
  <fills count="4">
    <fill>
      <patternFill/>
    </fill>
    <fill>
      <patternFill patternType="lightGray"/>
    </fill>
    <fill>
      <patternFill patternType="solid">
        <fgColor rgb="FF241B35"/>
        <bgColor rgb="FF241B35"/>
      </patternFill>
    </fill>
    <fill>
      <patternFill patternType="solid">
        <fgColor rgb="FFF7F5FA"/>
        <bgColor rgb="FFF7F5FA"/>
      </patternFill>
    </fill>
  </fills>
  <borders count="9">
    <border/>
    <border>
      <left style="thin">
        <color rgb="FFD9D4E3"/>
      </left>
      <right style="thin">
        <color rgb="FFD9D4E3"/>
      </right>
      <top style="thin">
        <color rgb="FFD9D4E3"/>
      </top>
      <bottom style="thin">
        <color rgb="FFD9D4E3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5" fillId="0" borderId="0" pivotButton="0" quotePrefix="0" xfId="0"/>
    <xf numFmtId="0" fontId="6" fillId="3" borderId="1" pivotButton="0" quotePrefix="0" xfId="0"/>
    <xf numFmtId="0" fontId="7" fillId="3" borderId="1" pivotButton="0" quotePrefix="0" xfId="0"/>
    <xf numFmtId="0" fontId="6" fillId="0" borderId="1" pivotButton="0" quotePrefix="0" xfId="0"/>
    <xf numFmtId="164" fontId="6" fillId="0" borderId="0" applyAlignment="1" pivotButton="0" quotePrefix="0" xfId="0">
      <alignment vertical="center"/>
    </xf>
    <xf numFmtId="0" fontId="1" fillId="2" borderId="8" pivotButton="0" quotePrefix="0" xfId="0"/>
    <xf numFmtId="164" fontId="6" fillId="0" borderId="0" pivotButton="0" quotePrefix="0" xfId="0"/>
    <xf numFmtId="165" fontId="6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pivotButton="0" quotePrefix="0" xfId="0"/>
    <xf numFmtId="0" fontId="3" fillId="2" borderId="8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8D7DA"/>
          <bgColor rgb="FFF8D7DA"/>
        </patternFill>
      </fill>
      <border/>
    </dxf>
    <dxf>
      <font/>
      <fill>
        <patternFill patternType="solid">
          <fgColor rgb="FFFFF3CD"/>
          <bgColor rgb="FFFFF3CD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</dxfs>
  <tableStyles count="15" defaultTableStyle="TableStyleMedium9" defaultPivotStyle="PivotStyleLight16">
    <tableStyle name="Contac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Lead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all_Queu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ctiviti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Follow_Up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Opportuniti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ustomer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Lead_Research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Feature_Catalog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lan_Catalog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Industry_Catalog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Lead_Sourc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Objection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ales_Templat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coring_Rul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Funnel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Dashboard!$E$4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  <a:prstDash val="solid"/>
            </a:ln>
          </spPr>
          <cat>
            <strRef>
              <f>Dashboard!$D$5:$D$11</f>
            </strRef>
          </cat>
          <val>
            <numRef>
              <f>Dashboard!$E$5:$E$11</f>
              <numCache/>
            </numRef>
          </val>
        </ser>
        <gapWidth val="150"/>
        <axId val="1281922341"/>
        <axId val="1840351981"/>
      </barChart>
      <catAx>
        <axId val="128192234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40351981"/>
        <lblOffset val="100"/>
      </catAx>
      <valAx>
        <axId val="184035198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Leads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81922341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4314825" cy="2514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CallQueueTable" displayName="CallQueueTable" ref="A1:O51" headerRowCount="1">
  <tableColumns count="15">
    <tableColumn id="1" name="Rank"/>
    <tableColumn id="2" name="Lead ID"/>
    <tableColumn id="3" name="Business Name"/>
    <tableColumn id="4" name="Industry"/>
    <tableColumn id="5" name="City"/>
    <tableColumn id="6" name="Priority"/>
    <tableColumn id="7" name="Temperature"/>
    <tableColumn id="8" name="Score"/>
    <tableColumn id="9" name="Next Follow-Up"/>
    <tableColumn id="10" name="Last Contact"/>
    <tableColumn id="11" name="Attempts"/>
    <tableColumn id="12" name="Primary Pain Point"/>
    <tableColumn id="13" name="Plan"/>
    <tableColumn id="14" name="Reason To Call"/>
    <tableColumn id="15" name="Next Action"/>
  </tableColumns>
  <tableStyleInfo name="Call_Queue-style" showFirstColumn="1" showLastColumn="1" showRowStripes="1" showColumnStripes="0"/>
</table>
</file>

<file path=xl/tables/table2.xml><?xml version="1.0" encoding="utf-8"?>
<table xmlns="http://schemas.openxmlformats.org/spreadsheetml/2006/main" id="2" name="LeadsTable" displayName="LeadsTable" ref="A1:BO501" headerRowCount="1">
  <tableColumns count="67">
    <tableColumn id="1" name="Lead ID"/>
    <tableColumn id="2" name="Business Name"/>
    <tableColumn id="3" name="Legal / DBA Name"/>
    <tableColumn id="4" name="Business Type"/>
    <tableColumn id="5" name="Industry"/>
    <tableColumn id="6" name="Sub-Industry"/>
    <tableColumn id="7" name="Service Type"/>
    <tableColumn id="8" name="Website"/>
    <tableColumn id="9" name="Phone"/>
    <tableColumn id="10" name="Email"/>
    <tableColumn id="11" name="City"/>
    <tableColumn id="12" name="Province/State"/>
    <tableColumn id="13" name="Country"/>
    <tableColumn id="14" name="Postal/ZIP"/>
    <tableColumn id="15" name="Service Area"/>
    <tableColumn id="16" name="Locations"/>
    <tableColumn id="17" name="Primary Contact"/>
    <tableColumn id="18" name="Contact Role"/>
    <tableColumn id="19" name="Decision Maker?"/>
    <tableColumn id="20" name="Contact Phone"/>
    <tableColumn id="21" name="Contact Email"/>
    <tableColumn id="22" name="LinkedIn"/>
    <tableColumn id="23" name="Instagram"/>
    <tableColumn id="24" name="Facebook"/>
    <tableColumn id="25" name="Lead Source"/>
    <tableColumn id="26" name="Source Detail"/>
    <tableColumn id="27" name="Source Quality"/>
    <tableColumn id="28" name="Lead Status"/>
    <tableColumn id="29" name="Priority"/>
    <tableColumn id="30" name="Date Added"/>
    <tableColumn id="31" name="Last Contact"/>
    <tableColumn id="32" name="Next Follow-Up"/>
    <tableColumn id="33" name="Contact Attempts"/>
    <tableColumn id="34" name="Last Outcome"/>
    <tableColumn id="35" name="Business Size"/>
    <tableColumn id="36" name="Employees"/>
    <tableColumn id="37" name="Estimated Revenue"/>
    <tableColumn id="38" name="Years in Business"/>
    <tableColumn id="39" name="Google Rating"/>
    <tableColumn id="40" name="Review Count"/>
    <tableColumn id="41" name="Social Followers"/>
    <tableColumn id="42" name="Website Platform"/>
    <tableColumn id="43" name="Website Quality"/>
    <tableColumn id="44" name="Current Booking"/>
    <tableColumn id="45" name="Current Payments"/>
    <tableColumn id="46" name="Current CRM"/>
    <tableColumn id="47" name="Current Accounting"/>
    <tableColumn id="48" name="Current Invoicing"/>
    <tableColumn id="49" name="Current Email Marketing"/>
    <tableColumn id="50" name="Current POS"/>
    <tableColumn id="51" name="Pain Points"/>
    <tableColumn id="52" name="Primary Pain Point"/>
    <tableColumn id="53" name="Peak Opportunity"/>
    <tableColumn id="54" name="Recommended Plan"/>
    <tableColumn id="55" name="Fit Score"/>
    <tableColumn id="56" name="Engagement Score"/>
    <tableColumn id="57" name="Buying Potential Score"/>
    <tableColumn id="58" name="Accessibility Score"/>
    <tableColumn id="59" name="Total Lead Score"/>
    <tableColumn id="60" name="Lead Temperature"/>
    <tableColumn id="61" name="Pipeline Stage"/>
    <tableColumn id="62" name="Opportunity ID"/>
    <tableColumn id="63" name="Estimated Deal Value"/>
    <tableColumn id="64" name="Estimated MRR"/>
    <tableColumn id="65" name="Expected Close"/>
    <tableColumn id="66" name="Lost Reason"/>
    <tableColumn id="67" name="Notes"/>
  </tableColumns>
  <tableStyleInfo name="Leads-style" showFirstColumn="1" showLastColumn="1" showRowStripes="1" showColumnStripes="0"/>
</table>
</file>

<file path=xl/tables/table3.xml><?xml version="1.0" encoding="utf-8"?>
<table xmlns="http://schemas.openxmlformats.org/spreadsheetml/2006/main" id="3" name="ContactsTable" displayName="ContactsTable" ref="A1:N501" headerRowCount="1">
  <tableColumns count="14">
    <tableColumn id="1" name="Contact ID"/>
    <tableColumn id="2" name="Lead ID"/>
    <tableColumn id="3" name="Business Name"/>
    <tableColumn id="4" name="First Name"/>
    <tableColumn id="5" name="Last Name"/>
    <tableColumn id="6" name="Title / Role"/>
    <tableColumn id="7" name="Decision Maker?"/>
    <tableColumn id="8" name="Phone"/>
    <tableColumn id="9" name="Email"/>
    <tableColumn id="10" name="LinkedIn"/>
    <tableColumn id="11" name="Instagram"/>
    <tableColumn id="12" name="Preferred Contact Method"/>
    <tableColumn id="13" name="Contact Status"/>
    <tableColumn id="14" name="Notes"/>
  </tableColumns>
  <tableStyleInfo name="Contacts-style" showFirstColumn="1" showLastColumn="1" showRowStripes="1" showColumnStripes="0"/>
</table>
</file>

<file path=xl/tables/table4.xml><?xml version="1.0" encoding="utf-8"?>
<table xmlns="http://schemas.openxmlformats.org/spreadsheetml/2006/main" id="4" name="ActivitiesTable" displayName="ActivitiesTable" ref="A1:P1001" headerRowCount="1">
  <tableColumns count="16">
    <tableColumn id="1" name="Activity ID"/>
    <tableColumn id="2" name="Lead ID"/>
    <tableColumn id="3" name="Business Name"/>
    <tableColumn id="4" name="Date"/>
    <tableColumn id="5" name="Time"/>
    <tableColumn id="6" name="Activity Type"/>
    <tableColumn id="7" name="Direction"/>
    <tableColumn id="8" name="Contact Method"/>
    <tableColumn id="9" name="Contact Person"/>
    <tableColumn id="10" name="Outcome"/>
    <tableColumn id="11" name="Response / Summary"/>
    <tableColumn id="12" name="Objection"/>
    <tableColumn id="13" name="Follow-Up Required?"/>
    <tableColumn id="14" name="Follow-Up Date"/>
    <tableColumn id="15" name="Next Action"/>
    <tableColumn id="16" name="Notes"/>
  </tableColumns>
  <tableStyleInfo name="Activities-style" showFirstColumn="1" showLastColumn="1" showRowStripes="1" showColumnStripes="0"/>
</table>
</file>

<file path=xl/tables/table5.xml><?xml version="1.0" encoding="utf-8"?>
<table xmlns="http://schemas.openxmlformats.org/spreadsheetml/2006/main" id="5" name="FollowUpsTable" displayName="FollowUpsTable" ref="A1:M1001" headerRowCount="1">
  <tableColumns count="13">
    <tableColumn id="1" name="Follow-Up ID"/>
    <tableColumn id="2" name="Lead ID"/>
    <tableColumn id="3" name="Business Name"/>
    <tableColumn id="4" name="Sequence"/>
    <tableColumn id="5" name="Follow-Up Type"/>
    <tableColumn id="6" name="Owner"/>
    <tableColumn id="7" name="Due Date"/>
    <tableColumn id="8" name="Status"/>
    <tableColumn id="9" name="Priority"/>
    <tableColumn id="10" name="Reason"/>
    <tableColumn id="11" name="Completed Date"/>
    <tableColumn id="12" name="Outcome"/>
    <tableColumn id="13" name="Notes"/>
  </tableColumns>
  <tableStyleInfo name="Follow_Ups-style" showFirstColumn="1" showLastColumn="1" showRowStripes="1" showColumnStripes="0"/>
</table>
</file>

<file path=xl/tables/table6.xml><?xml version="1.0" encoding="utf-8"?>
<table xmlns="http://schemas.openxmlformats.org/spreadsheetml/2006/main" id="6" name="OpportunitiesTable" displayName="OpportunitiesTable" ref="A1:Q501" headerRowCount="1">
  <tableColumns count="17">
    <tableColumn id="1" name="Opportunity ID"/>
    <tableColumn id="2" name="Lead ID"/>
    <tableColumn id="3" name="Business Name"/>
    <tableColumn id="4" name="Opportunity Name"/>
    <tableColumn id="5" name="Plan"/>
    <tableColumn id="6" name="Pipeline Stage"/>
    <tableColumn id="7" name="Probability"/>
    <tableColumn id="8" name="Estimated Deal Value"/>
    <tableColumn id="9" name="Estimated MRR"/>
    <tableColumn id="10" name="Setup Fee"/>
    <tableColumn id="11" name="Expected Close"/>
    <tableColumn id="12" name="Proposal Date"/>
    <tableColumn id="13" name="Close Date"/>
    <tableColumn id="14" name="Won/Lost"/>
    <tableColumn id="15" name="Lost Reason"/>
    <tableColumn id="16" name="Primary Use Case"/>
    <tableColumn id="17" name="Notes"/>
  </tableColumns>
  <tableStyleInfo name="Opportunities-style" showFirstColumn="1" showLastColumn="1" showRowStripes="1" showColumnStripes="0"/>
</table>
</file>

<file path=xl/tables/table7.xml><?xml version="1.0" encoding="utf-8"?>
<table xmlns="http://schemas.openxmlformats.org/spreadsheetml/2006/main" id="7" name="CustomersTable" displayName="CustomersTable" ref="A1:R301" headerRowCount="1">
  <tableColumns count="18">
    <tableColumn id="1" name="Customer ID"/>
    <tableColumn id="2" name="Lead ID"/>
    <tableColumn id="3" name="Business Name"/>
    <tableColumn id="4" name="Primary Contact"/>
    <tableColumn id="5" name="Plan"/>
    <tableColumn id="6" name="Currency"/>
    <tableColumn id="7" name="MRR"/>
    <tableColumn id="8" name="Setup Fee"/>
    <tableColumn id="9" name="Start Date"/>
    <tableColumn id="10" name="Status"/>
    <tableColumn id="11" name="Seats"/>
    <tableColumn id="12" name="Locations"/>
    <tableColumn id="13" name="Products"/>
    <tableColumn id="14" name="Customers"/>
    <tableColumn id="15" name="Current Features"/>
    <tableColumn id="16" name="Expansion Opportunity"/>
    <tableColumn id="17" name="Renewal / Review Date"/>
    <tableColumn id="18" name="Notes"/>
  </tableColumns>
  <tableStyleInfo name="Customers-style" showFirstColumn="1" showLastColumn="1" showRowStripes="1" showColumnStripes="0"/>
</table>
</file>

<file path=xl/tables/table8.xml><?xml version="1.0" encoding="utf-8"?>
<table xmlns="http://schemas.openxmlformats.org/spreadsheetml/2006/main" id="8" name="LeadResearchTable" displayName="LeadResearchTable" ref="A1:AB501" headerRowCount="1">
  <tableColumns count="28">
    <tableColumn id="1" name="Lead ID"/>
    <tableColumn id="2" name="Business Name"/>
    <tableColumn id="3" name="Has Website?"/>
    <tableColumn id="4" name="Website Platform"/>
    <tableColumn id="5" name="Website Quality"/>
    <tableColumn id="6" name="Mobile Quality"/>
    <tableColumn id="7" name="Custom Domain?"/>
    <tableColumn id="8" name="HTTPS?"/>
    <tableColumn id="9" name="Online Booking?"/>
    <tableColumn id="10" name="Booking Method"/>
    <tableColumn id="11" name="Online Payments?"/>
    <tableColumn id="12" name="Ecommerce?"/>
    <tableColumn id="13" name="Contact Form?"/>
    <tableColumn id="14" name="Chat?"/>
    <tableColumn id="15" name="Reviews Displayed?"/>
    <tableColumn id="16" name="Gallery?"/>
    <tableColumn id="17" name="Blog?"/>
    <tableColumn id="18" name="Customer Portal?"/>
    <tableColumn id="19" name="Current Booking Software"/>
    <tableColumn id="20" name="Current Payment Software"/>
    <tableColumn id="21" name="Current CRM"/>
    <tableColumn id="22" name="Current Accounting"/>
    <tableColumn id="23" name="Current Invoicing"/>
    <tableColumn id="24" name="Current Email Marketing"/>
    <tableColumn id="25" name="Current POS"/>
    <tableColumn id="26" name="Research Notes"/>
    <tableColumn id="27" name="Researcher"/>
    <tableColumn id="28" name="Research Date"/>
  </tableColumns>
  <tableStyleInfo name="Lead_Research-style" showFirstColumn="1" showLastColumn="1" showRowStripes="1" showColumnStripes="0"/>
</table>
</file>

<file path=xl/tables/table9.xml><?xml version="1.0" encoding="utf-8"?>
<table xmlns="http://schemas.openxmlformats.org/spreadsheetml/2006/main" id="9" name="FeatureCatalogTable" displayName="FeatureCatalogTable" ref="A1:J18" headerRowCount="1">
  <tableColumns count="10">
    <tableColumn id="1" name="Feature ID"/>
    <tableColumn id="2" name="Module"/>
    <tableColumn id="3" name="Feature"/>
    <tableColumn id="4" name="Description"/>
    <tableColumn id="5" name="Available?"/>
    <tableColumn id="6" name="Minimum Tier"/>
    <tableColumn id="7" name="Sales Value"/>
    <tableColumn id="8" name="Best Fit Industries"/>
    <tableColumn id="9" name="Primary Pain Point Solved"/>
    <tableColumn id="10" name="Sales Talking Point"/>
  </tableColumns>
  <tableStyleInfo name="Feature_Catalog-style" showFirstColumn="1" showLastColumn="1" showRowStripes="1" showColumnStripes="0"/>
</table>
</file>

<file path=xl/tables/table10.xml><?xml version="1.0" encoding="utf-8"?>
<table xmlns="http://schemas.openxmlformats.org/spreadsheetml/2006/main" id="10" name="PlanCatalogTable" displayName="PlanCatalogTable" ref="A1:U6" headerRowCount="1">
  <tableColumns count="21">
    <tableColumn id="1" name="Plan"/>
    <tableColumn id="2" name="Monthly CAD"/>
    <tableColumn id="3" name="Storage"/>
    <tableColumn id="4" name="Team Seats"/>
    <tableColumn id="5" name="Products"/>
    <tableColumn id="6" name="Customer Profiles"/>
    <tableColumn id="7" name="Sales Channels"/>
    <tableColumn id="8" name="Locations"/>
    <tableColumn id="9" name="Multi-location Inventory"/>
    <tableColumn id="10" name="Active Automations"/>
    <tableColumn id="11" name="Advanced Reporting"/>
    <tableColumn id="12" name="Exports / Month"/>
    <tableColumn id="13" name="Audit Retention"/>
    <tableColumn id="14" name="Custom Themes"/>
    <tableColumn id="15" name="Custom Domain"/>
    <tableColumn id="16" name="Remove Branding"/>
    <tableColumn id="17" name="API RPM"/>
    <tableColumn id="18" name="Support"/>
    <tableColumn id="19" name="Priority Queue"/>
    <tableColumn id="20" name="SSO"/>
    <tableColumn id="21" name="Positioning"/>
  </tableColumns>
  <tableStyleInfo name="Plan_Catalog-style" showFirstColumn="1" showLastColumn="1" showRowStripes="1" showColumnStripes="0"/>
</table>
</file>

<file path=xl/tables/table11.xml><?xml version="1.0" encoding="utf-8"?>
<table xmlns="http://schemas.openxmlformats.org/spreadsheetml/2006/main" id="11" name="IndustryCatalogTable" displayName="IndustryCatalogTable" ref="A1:H12" headerRowCount="1">
  <tableColumns count="8">
    <tableColumn id="1" name="Industry"/>
    <tableColumn id="2" name="Sub-Industry"/>
    <tableColumn id="3" name="Priority"/>
    <tableColumn id="4" name="Peak Fit"/>
    <tableColumn id="5" name="Typical Workflow"/>
    <tableColumn id="6" name="Typical Pain Points"/>
    <tableColumn id="7" name="Features To Emphasize"/>
    <tableColumn id="8" name="Notes"/>
  </tableColumns>
  <tableStyleInfo name="Industry_Catalog-style" showFirstColumn="1" showLastColumn="1" showRowStripes="1" showColumnStripes="0"/>
</table>
</file>

<file path=xl/tables/table12.xml><?xml version="1.0" encoding="utf-8"?>
<table xmlns="http://schemas.openxmlformats.org/spreadsheetml/2006/main" id="12" name="LeadSourcesTable" displayName="LeadSourcesTable" ref="A1:E9" headerRowCount="1">
  <tableColumns count="5">
    <tableColumn id="1" name="Source"/>
    <tableColumn id="2" name="Source Type"/>
    <tableColumn id="3" name="How Obtained"/>
    <tableColumn id="4" name="Expected Quality"/>
    <tableColumn id="5" name="Notes"/>
  </tableColumns>
  <tableStyleInfo name="Lead_Sources-style" showFirstColumn="1" showLastColumn="1" showRowStripes="1" showColumnStripes="0"/>
</table>
</file>

<file path=xl/tables/table13.xml><?xml version="1.0" encoding="utf-8"?>
<table xmlns="http://schemas.openxmlformats.org/spreadsheetml/2006/main" id="13" name="ObjectionsTable" displayName="ObjectionsTable" ref="A1:E6" headerRowCount="1">
  <tableColumns count="5">
    <tableColumn id="1" name="Objection"/>
    <tableColumn id="2" name="Category"/>
    <tableColumn id="3" name="Suggested Response"/>
    <tableColumn id="4" name="Follow-Up Action"/>
    <tableColumn id="5" name="Notes"/>
  </tableColumns>
  <tableStyleInfo name="Objections-style" showFirstColumn="1" showLastColumn="1" showRowStripes="1" showColumnStripes="0"/>
</table>
</file>

<file path=xl/tables/table14.xml><?xml version="1.0" encoding="utf-8"?>
<table xmlns="http://schemas.openxmlformats.org/spreadsheetml/2006/main" id="14" name="TemplatesTable" displayName="TemplatesTable" ref="A1:F5" headerRowCount="1">
  <tableColumns count="6">
    <tableColumn id="1" name="Template ID"/>
    <tableColumn id="2" name="Template Type"/>
    <tableColumn id="3" name="Use Case"/>
    <tableColumn id="4" name="Subject"/>
    <tableColumn id="5" name="Template"/>
    <tableColumn id="6" name="Notes"/>
  </tableColumns>
  <tableStyleInfo name="Sales_Templates-style" showFirstColumn="1" showLastColumn="1" showRowStripes="1" showColumnStripes="0"/>
</table>
</file>

<file path=xl/tables/table15.xml><?xml version="1.0" encoding="utf-8"?>
<table xmlns="http://schemas.openxmlformats.org/spreadsheetml/2006/main" id="15" name="ScoringRulesTable" displayName="ScoringRulesTable" ref="A1:E5" headerRowCount="1">
  <tableColumns count="5">
    <tableColumn id="1" name="Score Component"/>
    <tableColumn id="2" name="Weight"/>
    <tableColumn id="3" name="How Scored"/>
    <tableColumn id="4" name="Data Inputs"/>
    <tableColumn id="5" name="Purpose"/>
  </tableColumns>
  <tableStyleInfo name="Scoring_Rul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9" customWidth="1" style="19" min="1" max="1"/>
    <col width="28" customWidth="1" style="19" min="2" max="2"/>
    <col width="22" customWidth="1" style="19" min="3" max="3"/>
    <col width="18" customWidth="1" style="19" min="4" max="5"/>
    <col width="14" customWidth="1" style="19" min="6" max="6"/>
    <col width="18" customWidth="1" style="19" min="7" max="7"/>
    <col width="28" customWidth="1" style="19" min="8" max="8"/>
    <col width="24" customWidth="1" style="19" min="9" max="9"/>
    <col width="8.710000000000001" customWidth="1" style="19" min="10" max="26"/>
  </cols>
  <sheetData>
    <row r="1">
      <c r="A1" s="20" t="inlineStr">
        <is>
          <t>PEAK SALES INTELLIGENCE</t>
        </is>
      </c>
    </row>
    <row r="2"/>
    <row r="4">
      <c r="A4" s="9" t="inlineStr">
        <is>
          <t>COMMAND CENTER</t>
        </is>
      </c>
      <c r="D4" s="9" t="inlineStr">
        <is>
          <t>SALES FUNNEL</t>
        </is>
      </c>
    </row>
    <row r="5">
      <c r="A5" s="10" t="inlineStr">
        <is>
          <t>Total Leads</t>
        </is>
      </c>
      <c r="B5" s="11">
        <f>COUNTA(Leads!A2:A501)</f>
        <v/>
      </c>
      <c r="D5" s="12" t="inlineStr">
        <is>
          <t>New</t>
        </is>
      </c>
      <c r="E5" s="12">
        <f>COUNTIF(Leads!AB2:AB501,"New")</f>
        <v/>
      </c>
    </row>
    <row r="6">
      <c r="A6" s="10" t="inlineStr">
        <is>
          <t>Active Prospects</t>
        </is>
      </c>
      <c r="B6" s="11">
        <f>COUNTIFS(Leads!AB2:AB501,"&lt;&gt;",Leads!AB2:AB501,"&lt;&gt;Customer",Leads!AB2:AB501,"&lt;&gt;Lost",Leads!AB2:AB501,"&lt;&gt;Disqualified")</f>
        <v/>
      </c>
      <c r="D6" s="12" t="inlineStr">
        <is>
          <t>Contacted</t>
        </is>
      </c>
      <c r="E6" s="12">
        <f>COUNTIF(Leads!AB2:AB501,"Contacted")</f>
        <v/>
      </c>
    </row>
    <row r="7">
      <c r="A7" s="10" t="inlineStr">
        <is>
          <t>Contacted</t>
        </is>
      </c>
      <c r="B7" s="11">
        <f>COUNTIF(Leads!AB2:AB501,"Contacted")</f>
        <v/>
      </c>
      <c r="D7" s="12" t="inlineStr">
        <is>
          <t>Engaged</t>
        </is>
      </c>
      <c r="E7" s="12">
        <f>COUNTIF(Leads!AB2:AB501,"Engaged")</f>
        <v/>
      </c>
    </row>
    <row r="8">
      <c r="A8" s="10" t="inlineStr">
        <is>
          <t>Qualified</t>
        </is>
      </c>
      <c r="B8" s="11">
        <f>COUNTIF(Leads!AB2:AB501,"Qualified")</f>
        <v/>
      </c>
      <c r="D8" s="12" t="inlineStr">
        <is>
          <t>Qualified</t>
        </is>
      </c>
      <c r="E8" s="12">
        <f>COUNTIF(Leads!AB2:AB501,"Qualified")</f>
        <v/>
      </c>
    </row>
    <row r="9">
      <c r="A9" s="10" t="inlineStr">
        <is>
          <t>Demos Booked</t>
        </is>
      </c>
      <c r="B9" s="11">
        <f>COUNTIF(Leads!BO2:BO501,"Demo Booked")</f>
        <v/>
      </c>
      <c r="D9" s="12" t="inlineStr">
        <is>
          <t>Demo</t>
        </is>
      </c>
      <c r="E9" s="12">
        <f>COUNTIF(Leads!BO2:BO501,"Demo Booked")+COUNTIF(Leads!BO2:BO501,"Demo Completed")</f>
        <v/>
      </c>
    </row>
    <row r="10">
      <c r="A10" s="10" t="inlineStr">
        <is>
          <t>Proposals</t>
        </is>
      </c>
      <c r="B10" s="11">
        <f>COUNTIF(Leads!BO2:BO501,"Proposal")</f>
        <v/>
      </c>
      <c r="D10" s="12" t="inlineStr">
        <is>
          <t>Proposal</t>
        </is>
      </c>
      <c r="E10" s="12">
        <f>COUNTIF(Leads!BO2:BO501,"Proposal")</f>
        <v/>
      </c>
    </row>
    <row r="11">
      <c r="A11" s="10" t="inlineStr">
        <is>
          <t>Customers</t>
        </is>
      </c>
      <c r="B11" s="11">
        <f>COUNTIF(Leads!AB2:AB501,"Customer")</f>
        <v/>
      </c>
      <c r="D11" s="12" t="inlineStr">
        <is>
          <t>Won</t>
        </is>
      </c>
      <c r="E11" s="12">
        <f>COUNTIF(Leads!AB2:AB501,"Customer")</f>
        <v/>
      </c>
    </row>
    <row r="12">
      <c r="A12" s="10" t="inlineStr">
        <is>
          <t>Pipeline MRR</t>
        </is>
      </c>
      <c r="B12" s="11">
        <f>SUM(Leads!BQ2:BQ501)</f>
        <v/>
      </c>
    </row>
    <row r="15">
      <c r="A15" s="9" t="inlineStr">
        <is>
          <t>🔥 WHAT SHOULD I DO TODAY?</t>
        </is>
      </c>
    </row>
    <row r="16">
      <c r="A16" s="14" t="inlineStr">
        <is>
          <t>Rank</t>
        </is>
      </c>
      <c r="B16" s="14" t="inlineStr">
        <is>
          <t>Business</t>
        </is>
      </c>
      <c r="C16" s="14" t="inlineStr">
        <is>
          <t>Industry</t>
        </is>
      </c>
      <c r="D16" s="14" t="inlineStr">
        <is>
          <t>Priority</t>
        </is>
      </c>
      <c r="E16" s="14" t="inlineStr">
        <is>
          <t>Temperature</t>
        </is>
      </c>
      <c r="F16" s="14" t="inlineStr">
        <is>
          <t>Score</t>
        </is>
      </c>
      <c r="G16" s="14" t="inlineStr">
        <is>
          <t>Follow-Up</t>
        </is>
      </c>
      <c r="H16" s="14" t="inlineStr">
        <is>
          <t>Reason</t>
        </is>
      </c>
      <c r="I16" s="14" t="inlineStr">
        <is>
          <t>Next Action</t>
        </is>
      </c>
    </row>
    <row r="17">
      <c r="A17" s="12">
        <f>Call_Queue!A2</f>
        <v/>
      </c>
      <c r="B17" s="12">
        <f>Call_Queue!C2</f>
        <v/>
      </c>
      <c r="C17" s="12">
        <f>Call_Queue!C2</f>
        <v/>
      </c>
      <c r="D17" s="12">
        <f>Call_Queue!D2</f>
        <v/>
      </c>
      <c r="E17" s="12">
        <f>Call_Queue!E2</f>
        <v/>
      </c>
      <c r="F17" s="12">
        <f>Call_Queue!F2</f>
        <v/>
      </c>
      <c r="G17" s="12">
        <f>Call_Queue!G2</f>
        <v/>
      </c>
      <c r="H17" s="12">
        <f>Call_Queue!H2</f>
        <v/>
      </c>
      <c r="I17" s="12">
        <f>Call_Queue!I2</f>
        <v/>
      </c>
    </row>
    <row r="18">
      <c r="A18" s="12">
        <f>Call_Queue!A3</f>
        <v/>
      </c>
      <c r="B18" s="12">
        <f>Call_Queue!C3</f>
        <v/>
      </c>
      <c r="C18" s="12">
        <f>Call_Queue!C3</f>
        <v/>
      </c>
      <c r="D18" s="12">
        <f>Call_Queue!D3</f>
        <v/>
      </c>
      <c r="E18" s="12">
        <f>Call_Queue!E3</f>
        <v/>
      </c>
      <c r="F18" s="12">
        <f>Call_Queue!F3</f>
        <v/>
      </c>
      <c r="G18" s="12">
        <f>Call_Queue!G3</f>
        <v/>
      </c>
      <c r="H18" s="12">
        <f>Call_Queue!H3</f>
        <v/>
      </c>
      <c r="I18" s="12">
        <f>Call_Queue!I3</f>
        <v/>
      </c>
    </row>
    <row r="19">
      <c r="A19" s="12">
        <f>Call_Queue!A4</f>
        <v/>
      </c>
      <c r="B19" s="12">
        <f>Call_Queue!C4</f>
        <v/>
      </c>
      <c r="C19" s="12">
        <f>Call_Queue!C4</f>
        <v/>
      </c>
      <c r="D19" s="12">
        <f>Call_Queue!D4</f>
        <v/>
      </c>
      <c r="E19" s="12">
        <f>Call_Queue!E4</f>
        <v/>
      </c>
      <c r="F19" s="12">
        <f>Call_Queue!F4</f>
        <v/>
      </c>
      <c r="G19" s="12">
        <f>Call_Queue!G4</f>
        <v/>
      </c>
      <c r="H19" s="12">
        <f>Call_Queue!H4</f>
        <v/>
      </c>
      <c r="I19" s="12">
        <f>Call_Queue!I4</f>
        <v/>
      </c>
    </row>
    <row r="20">
      <c r="A20" s="12">
        <f>Call_Queue!A5</f>
        <v/>
      </c>
      <c r="B20" s="12">
        <f>Call_Queue!C5</f>
        <v/>
      </c>
      <c r="C20" s="12">
        <f>Call_Queue!C5</f>
        <v/>
      </c>
      <c r="D20" s="12">
        <f>Call_Queue!D5</f>
        <v/>
      </c>
      <c r="E20" s="12">
        <f>Call_Queue!E5</f>
        <v/>
      </c>
      <c r="F20" s="12">
        <f>Call_Queue!F5</f>
        <v/>
      </c>
      <c r="G20" s="12">
        <f>Call_Queue!G5</f>
        <v/>
      </c>
      <c r="H20" s="12">
        <f>Call_Queue!H5</f>
        <v/>
      </c>
      <c r="I20" s="12">
        <f>Call_Queue!I5</f>
        <v/>
      </c>
    </row>
    <row r="21" ht="15.75" customHeight="1" s="19">
      <c r="A21" s="12">
        <f>Call_Queue!A6</f>
        <v/>
      </c>
      <c r="B21" s="12">
        <f>Call_Queue!C6</f>
        <v/>
      </c>
      <c r="C21" s="12">
        <f>Call_Queue!C6</f>
        <v/>
      </c>
      <c r="D21" s="12">
        <f>Call_Queue!D6</f>
        <v/>
      </c>
      <c r="E21" s="12">
        <f>Call_Queue!E6</f>
        <v/>
      </c>
      <c r="F21" s="12">
        <f>Call_Queue!F6</f>
        <v/>
      </c>
      <c r="G21" s="12">
        <f>Call_Queue!G6</f>
        <v/>
      </c>
      <c r="H21" s="12">
        <f>Call_Queue!H6</f>
        <v/>
      </c>
      <c r="I21" s="12">
        <f>Call_Queue!I6</f>
        <v/>
      </c>
    </row>
    <row r="22" ht="15.75" customHeight="1" s="19">
      <c r="A22" s="12">
        <f>Call_Queue!A7</f>
        <v/>
      </c>
      <c r="B22" s="12">
        <f>Call_Queue!C7</f>
        <v/>
      </c>
      <c r="C22" s="12">
        <f>Call_Queue!C7</f>
        <v/>
      </c>
      <c r="D22" s="12">
        <f>Call_Queue!D7</f>
        <v/>
      </c>
      <c r="E22" s="12">
        <f>Call_Queue!E7</f>
        <v/>
      </c>
      <c r="F22" s="12">
        <f>Call_Queue!F7</f>
        <v/>
      </c>
      <c r="G22" s="12">
        <f>Call_Queue!G7</f>
        <v/>
      </c>
      <c r="H22" s="12">
        <f>Call_Queue!H7</f>
        <v/>
      </c>
      <c r="I22" s="12">
        <f>Call_Queue!I7</f>
        <v/>
      </c>
    </row>
    <row r="23" ht="15.75" customHeight="1" s="19">
      <c r="A23" s="12">
        <f>Call_Queue!A8</f>
        <v/>
      </c>
      <c r="B23" s="12">
        <f>Call_Queue!C8</f>
        <v/>
      </c>
      <c r="C23" s="12">
        <f>Call_Queue!C8</f>
        <v/>
      </c>
      <c r="D23" s="12">
        <f>Call_Queue!D8</f>
        <v/>
      </c>
      <c r="E23" s="12">
        <f>Call_Queue!E8</f>
        <v/>
      </c>
      <c r="F23" s="12">
        <f>Call_Queue!F8</f>
        <v/>
      </c>
      <c r="G23" s="12">
        <f>Call_Queue!G8</f>
        <v/>
      </c>
      <c r="H23" s="12">
        <f>Call_Queue!H8</f>
        <v/>
      </c>
      <c r="I23" s="12">
        <f>Call_Queue!I8</f>
        <v/>
      </c>
    </row>
    <row r="24" ht="15.75" customHeight="1" s="19">
      <c r="A24" s="12">
        <f>Call_Queue!A9</f>
        <v/>
      </c>
      <c r="B24" s="12">
        <f>Call_Queue!C9</f>
        <v/>
      </c>
      <c r="C24" s="12">
        <f>Call_Queue!C9</f>
        <v/>
      </c>
      <c r="D24" s="12">
        <f>Call_Queue!D9</f>
        <v/>
      </c>
      <c r="E24" s="12">
        <f>Call_Queue!E9</f>
        <v/>
      </c>
      <c r="F24" s="12">
        <f>Call_Queue!F9</f>
        <v/>
      </c>
      <c r="G24" s="12">
        <f>Call_Queue!G9</f>
        <v/>
      </c>
      <c r="H24" s="12">
        <f>Call_Queue!H9</f>
        <v/>
      </c>
      <c r="I24" s="12">
        <f>Call_Queue!I9</f>
        <v/>
      </c>
    </row>
    <row r="25" ht="15.75" customHeight="1" s="19">
      <c r="A25" s="12">
        <f>Call_Queue!A10</f>
        <v/>
      </c>
      <c r="B25" s="12">
        <f>Call_Queue!C10</f>
        <v/>
      </c>
      <c r="C25" s="12">
        <f>Call_Queue!C10</f>
        <v/>
      </c>
      <c r="D25" s="12">
        <f>Call_Queue!D10</f>
        <v/>
      </c>
      <c r="E25" s="12">
        <f>Call_Queue!E10</f>
        <v/>
      </c>
      <c r="F25" s="12">
        <f>Call_Queue!F10</f>
        <v/>
      </c>
      <c r="G25" s="12">
        <f>Call_Queue!G10</f>
        <v/>
      </c>
      <c r="H25" s="12">
        <f>Call_Queue!H10</f>
        <v/>
      </c>
      <c r="I25" s="12">
        <f>Call_Queue!I10</f>
        <v/>
      </c>
    </row>
    <row r="26" ht="15.75" customHeight="1" s="19">
      <c r="A26" s="12">
        <f>Call_Queue!A11</f>
        <v/>
      </c>
      <c r="B26" s="12">
        <f>Call_Queue!C11</f>
        <v/>
      </c>
      <c r="C26" s="12">
        <f>Call_Queue!C11</f>
        <v/>
      </c>
      <c r="D26" s="12">
        <f>Call_Queue!D11</f>
        <v/>
      </c>
      <c r="E26" s="12">
        <f>Call_Queue!E11</f>
        <v/>
      </c>
      <c r="F26" s="12">
        <f>Call_Queue!F11</f>
        <v/>
      </c>
      <c r="G26" s="12">
        <f>Call_Queue!G11</f>
        <v/>
      </c>
      <c r="H26" s="12">
        <f>Call_Queue!H11</f>
        <v/>
      </c>
      <c r="I26" s="12">
        <f>Call_Queue!I11</f>
        <v/>
      </c>
    </row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1">
    <mergeCell ref="A1:I2"/>
  </mergeCells>
  <pageMargins left="0.75" right="0.75" top="1" bottom="1" header="0" footer="0"/>
  <pageSetup orientation="landscape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19" min="1" max="15"/>
    <col width="8.710000000000001" customWidth="1" style="19" min="16" max="26"/>
  </cols>
  <sheetData>
    <row r="1" ht="30" customHeight="1" s="19">
      <c r="A1" s="17" t="inlineStr">
        <is>
          <t>Rank</t>
        </is>
      </c>
      <c r="B1" s="17" t="inlineStr">
        <is>
          <t>Lead ID</t>
        </is>
      </c>
      <c r="C1" s="17" t="inlineStr">
        <is>
          <t>Business Name</t>
        </is>
      </c>
      <c r="D1" s="17" t="inlineStr">
        <is>
          <t>Industry</t>
        </is>
      </c>
      <c r="E1" s="17" t="inlineStr">
        <is>
          <t>City</t>
        </is>
      </c>
      <c r="F1" s="17" t="inlineStr">
        <is>
          <t>Priority</t>
        </is>
      </c>
      <c r="G1" s="17" t="inlineStr">
        <is>
          <t>Temperature</t>
        </is>
      </c>
      <c r="H1" s="17" t="inlineStr">
        <is>
          <t>Score</t>
        </is>
      </c>
      <c r="I1" s="17" t="inlineStr">
        <is>
          <t>Next Follow-Up</t>
        </is>
      </c>
      <c r="J1" s="17" t="inlineStr">
        <is>
          <t>Last Contact</t>
        </is>
      </c>
      <c r="K1" s="17" t="inlineStr">
        <is>
          <t>Attempts</t>
        </is>
      </c>
      <c r="L1" s="17" t="inlineStr">
        <is>
          <t>Primary Pain Point</t>
        </is>
      </c>
      <c r="M1" s="17" t="inlineStr">
        <is>
          <t>Plan</t>
        </is>
      </c>
      <c r="N1" s="17" t="inlineStr">
        <is>
          <t>Reason To Call</t>
        </is>
      </c>
      <c r="O1" s="17" t="inlineStr">
        <is>
          <t>Next Action</t>
        </is>
      </c>
    </row>
    <row r="2">
      <c r="A2" s="2">
        <f>IF(B2="","",RANK(H2,$H$2:$H$51,0))</f>
        <v/>
      </c>
      <c r="B2" s="2">
        <f t="array" ref="B2">IFERROR(INDEX(Leads!$A:$A,MATCH(LARGE(Leads!$BL$2:$BL$501,ROW()-1),Leads!$BL:$BL,0)),"")</f>
        <v/>
      </c>
      <c r="C2" s="2">
        <f t="array" ref="C2">IFERROR(INDEX(Leads!$B:$B,MATCH(B2,Leads!$A:$A,0)),"")</f>
        <v/>
      </c>
      <c r="D2" s="2">
        <f t="array" ref="D2">IFERROR(INDEX(Leads!$E:$E,MATCH(B2,Leads!$A:$A,0)),"")</f>
        <v/>
      </c>
      <c r="E2" s="2">
        <f t="array" ref="E2">IFERROR(INDEX(Leads!$K:$K,MATCH(B2,Leads!$A:$A,0)),"")</f>
        <v/>
      </c>
      <c r="F2" s="2">
        <f t="array" ref="F2">IFERROR(INDEX(Leads!$AC:$AC,MATCH(B2,Leads!$A:$A,0)),"")</f>
        <v/>
      </c>
      <c r="G2" s="2">
        <f t="array" ref="G2">IFERROR(INDEX(Leads!$BM:$BM,MATCH(B2,Leads!$A:$A,0)),"")</f>
        <v/>
      </c>
      <c r="H2" s="2">
        <f t="array" ref="H2">IFERROR(INDEX(Leads!$BL:$BL,MATCH(B2,Leads!$A:$A,0)),"")</f>
        <v/>
      </c>
      <c r="I2" s="2">
        <f t="array" ref="I2">IFERROR(INDEX(Leads!$AF:$AF,MATCH(B2,Leads!$A:$A,0)),"")</f>
        <v/>
      </c>
      <c r="J2" s="2">
        <f t="array" ref="J2">IFERROR(INDEX(Leads!$AE:$AE,MATCH(B2,Leads!$A:$A,0)),"")</f>
        <v/>
      </c>
      <c r="K2" s="2">
        <f t="array" ref="K2">IFERROR(INDEX(Leads!$AG:$AG,MATCH(B2,Leads!$A:$A,0)),"")</f>
        <v/>
      </c>
      <c r="L2" s="2">
        <f t="array" ref="L2">IFERROR(INDEX(Leads!$AZ:$AZ,MATCH(B2,Leads!$A:$A,0)),"")</f>
        <v/>
      </c>
      <c r="M2" s="2">
        <f t="array" ref="M2">IFERROR(INDEX(Leads!$BB:$BB,MATCH(B2,Leads!$A:$A,0)),"")</f>
        <v/>
      </c>
      <c r="N2" s="2">
        <f>IF(I2="","",IF(I2=TODAY(),"FOLLOW UP TODAY",IF(I2&lt;TODAY(),"OVERDUE","HIGH SCORE")))</f>
        <v/>
      </c>
      <c r="O2" s="2">
        <f>IF(N2="FOLLOW UP TODAY","Call / follow up",IF(N2="OVERDUE","Call now","Prioritize outreach"))</f>
        <v/>
      </c>
    </row>
    <row r="3">
      <c r="A3" s="2">
        <f>IF(B3="","",RANK(H3,$H$2:$H$51,0))</f>
        <v/>
      </c>
      <c r="B3" s="2">
        <f t="array" ref="B3">IFERROR(INDEX(Leads!$A:$A,MATCH(LARGE(Leads!$BL$2:$BL$501,ROW()-1),Leads!$BL:$BL,0)),"")</f>
        <v/>
      </c>
      <c r="C3" s="2">
        <f t="array" ref="C3">IFERROR(INDEX(Leads!$B:$B,MATCH(B3,Leads!$A:$A,0)),"")</f>
        <v/>
      </c>
      <c r="D3" s="2">
        <f t="array" ref="D3">IFERROR(INDEX(Leads!$E:$E,MATCH(B3,Leads!$A:$A,0)),"")</f>
        <v/>
      </c>
      <c r="E3" s="2">
        <f t="array" ref="E3">IFERROR(INDEX(Leads!$K:$K,MATCH(B3,Leads!$A:$A,0)),"")</f>
        <v/>
      </c>
      <c r="F3" s="2">
        <f t="array" ref="F3">IFERROR(INDEX(Leads!$AC:$AC,MATCH(B3,Leads!$A:$A,0)),"")</f>
        <v/>
      </c>
      <c r="G3" s="2">
        <f t="array" ref="G3">IFERROR(INDEX(Leads!$BM:$BM,MATCH(B3,Leads!$A:$A,0)),"")</f>
        <v/>
      </c>
      <c r="H3" s="2">
        <f t="array" ref="H3">IFERROR(INDEX(Leads!$BL:$BL,MATCH(B3,Leads!$A:$A,0)),"")</f>
        <v/>
      </c>
      <c r="I3" s="2">
        <f t="array" ref="I3">IFERROR(INDEX(Leads!$AF:$AF,MATCH(B3,Leads!$A:$A,0)),"")</f>
        <v/>
      </c>
      <c r="J3" s="2">
        <f t="array" ref="J3">IFERROR(INDEX(Leads!$AE:$AE,MATCH(B3,Leads!$A:$A,0)),"")</f>
        <v/>
      </c>
      <c r="K3" s="2">
        <f t="array" ref="K3">IFERROR(INDEX(Leads!$AG:$AG,MATCH(B3,Leads!$A:$A,0)),"")</f>
        <v/>
      </c>
      <c r="L3" s="2">
        <f t="array" ref="L3">IFERROR(INDEX(Leads!$AZ:$AZ,MATCH(B3,Leads!$A:$A,0)),"")</f>
        <v/>
      </c>
      <c r="M3" s="2">
        <f t="array" ref="M3">IFERROR(INDEX(Leads!$BB:$BB,MATCH(B3,Leads!$A:$A,0)),"")</f>
        <v/>
      </c>
      <c r="N3" s="2">
        <f>IF(I3="","",IF(I3=TODAY(),"FOLLOW UP TODAY",IF(I3&lt;TODAY(),"OVERDUE","HIGH SCORE")))</f>
        <v/>
      </c>
      <c r="O3" s="2">
        <f>IF(N3="FOLLOW UP TODAY","Call / follow up",IF(N3="OVERDUE","Call now","Prioritize outreach"))</f>
        <v/>
      </c>
    </row>
    <row r="4">
      <c r="A4" s="2">
        <f>IF(B4="","",RANK(H4,$H$2:$H$51,0))</f>
        <v/>
      </c>
      <c r="B4" s="2">
        <f t="array" ref="B4">IFERROR(INDEX(Leads!$A:$A,MATCH(LARGE(Leads!$BL$2:$BL$501,ROW()-1),Leads!$BL:$BL,0)),"")</f>
        <v/>
      </c>
      <c r="C4" s="2">
        <f t="array" ref="C4">IFERROR(INDEX(Leads!$B:$B,MATCH(B4,Leads!$A:$A,0)),"")</f>
        <v/>
      </c>
      <c r="D4" s="2">
        <f t="array" ref="D4">IFERROR(INDEX(Leads!$E:$E,MATCH(B4,Leads!$A:$A,0)),"")</f>
        <v/>
      </c>
      <c r="E4" s="2">
        <f t="array" ref="E4">IFERROR(INDEX(Leads!$K:$K,MATCH(B4,Leads!$A:$A,0)),"")</f>
        <v/>
      </c>
      <c r="F4" s="2">
        <f t="array" ref="F4">IFERROR(INDEX(Leads!$AC:$AC,MATCH(B4,Leads!$A:$A,0)),"")</f>
        <v/>
      </c>
      <c r="G4" s="2">
        <f t="array" ref="G4">IFERROR(INDEX(Leads!$BM:$BM,MATCH(B4,Leads!$A:$A,0)),"")</f>
        <v/>
      </c>
      <c r="H4" s="2">
        <f t="array" ref="H4">IFERROR(INDEX(Leads!$BL:$BL,MATCH(B4,Leads!$A:$A,0)),"")</f>
        <v/>
      </c>
      <c r="I4" s="2">
        <f t="array" ref="I4">IFERROR(INDEX(Leads!$AF:$AF,MATCH(B4,Leads!$A:$A,0)),"")</f>
        <v/>
      </c>
      <c r="J4" s="2">
        <f t="array" ref="J4">IFERROR(INDEX(Leads!$AE:$AE,MATCH(B4,Leads!$A:$A,0)),"")</f>
        <v/>
      </c>
      <c r="K4" s="2">
        <f t="array" ref="K4">IFERROR(INDEX(Leads!$AG:$AG,MATCH(B4,Leads!$A:$A,0)),"")</f>
        <v/>
      </c>
      <c r="L4" s="2">
        <f t="array" ref="L4">IFERROR(INDEX(Leads!$AZ:$AZ,MATCH(B4,Leads!$A:$A,0)),"")</f>
        <v/>
      </c>
      <c r="M4" s="2">
        <f t="array" ref="M4">IFERROR(INDEX(Leads!$BB:$BB,MATCH(B4,Leads!$A:$A,0)),"")</f>
        <v/>
      </c>
      <c r="N4" s="2">
        <f>IF(I4="","",IF(I4=TODAY(),"FOLLOW UP TODAY",IF(I4&lt;TODAY(),"OVERDUE","HIGH SCORE")))</f>
        <v/>
      </c>
      <c r="O4" s="2">
        <f>IF(N4="FOLLOW UP TODAY","Call / follow up",IF(N4="OVERDUE","Call now","Prioritize outreach"))</f>
        <v/>
      </c>
    </row>
    <row r="5">
      <c r="A5" s="2">
        <f>IF(B5="","",RANK(H5,$H$2:$H$51,0))</f>
        <v/>
      </c>
      <c r="B5" s="2">
        <f t="array" ref="B5">IFERROR(INDEX(Leads!$A:$A,MATCH(LARGE(Leads!$BL$2:$BL$501,ROW()-1),Leads!$BL:$BL,0)),"")</f>
        <v/>
      </c>
      <c r="C5" s="2">
        <f t="array" ref="C5">IFERROR(INDEX(Leads!$B:$B,MATCH(B5,Leads!$A:$A,0)),"")</f>
        <v/>
      </c>
      <c r="D5" s="2">
        <f t="array" ref="D5">IFERROR(INDEX(Leads!$E:$E,MATCH(B5,Leads!$A:$A,0)),"")</f>
        <v/>
      </c>
      <c r="E5" s="2">
        <f t="array" ref="E5">IFERROR(INDEX(Leads!$K:$K,MATCH(B5,Leads!$A:$A,0)),"")</f>
        <v/>
      </c>
      <c r="F5" s="2">
        <f t="array" ref="F5">IFERROR(INDEX(Leads!$AC:$AC,MATCH(B5,Leads!$A:$A,0)),"")</f>
        <v/>
      </c>
      <c r="G5" s="2">
        <f t="array" ref="G5">IFERROR(INDEX(Leads!$BM:$BM,MATCH(B5,Leads!$A:$A,0)),"")</f>
        <v/>
      </c>
      <c r="H5" s="2">
        <f t="array" ref="H5">IFERROR(INDEX(Leads!$BL:$BL,MATCH(B5,Leads!$A:$A,0)),"")</f>
        <v/>
      </c>
      <c r="I5" s="2">
        <f t="array" ref="I5">IFERROR(INDEX(Leads!$AF:$AF,MATCH(B5,Leads!$A:$A,0)),"")</f>
        <v/>
      </c>
      <c r="J5" s="2">
        <f t="array" ref="J5">IFERROR(INDEX(Leads!$AE:$AE,MATCH(B5,Leads!$A:$A,0)),"")</f>
        <v/>
      </c>
      <c r="K5" s="2">
        <f t="array" ref="K5">IFERROR(INDEX(Leads!$AG:$AG,MATCH(B5,Leads!$A:$A,0)),"")</f>
        <v/>
      </c>
      <c r="L5" s="2">
        <f t="array" ref="L5">IFERROR(INDEX(Leads!$AZ:$AZ,MATCH(B5,Leads!$A:$A,0)),"")</f>
        <v/>
      </c>
      <c r="M5" s="2">
        <f t="array" ref="M5">IFERROR(INDEX(Leads!$BB:$BB,MATCH(B5,Leads!$A:$A,0)),"")</f>
        <v/>
      </c>
      <c r="N5" s="2">
        <f>IF(I5="","",IF(I5=TODAY(),"FOLLOW UP TODAY",IF(I5&lt;TODAY(),"OVERDUE","HIGH SCORE")))</f>
        <v/>
      </c>
      <c r="O5" s="2">
        <f>IF(N5="FOLLOW UP TODAY","Call / follow up",IF(N5="OVERDUE","Call now","Prioritize outreach"))</f>
        <v/>
      </c>
    </row>
    <row r="6">
      <c r="A6" s="2">
        <f>IF(B6="","",RANK(H6,$H$2:$H$51,0))</f>
        <v/>
      </c>
      <c r="B6" s="2">
        <f t="array" ref="B6">IFERROR(INDEX(Leads!$A:$A,MATCH(LARGE(Leads!$BL$2:$BL$501,ROW()-1),Leads!$BL:$BL,0)),"")</f>
        <v/>
      </c>
      <c r="C6" s="2">
        <f t="array" ref="C6">IFERROR(INDEX(Leads!$B:$B,MATCH(B6,Leads!$A:$A,0)),"")</f>
        <v/>
      </c>
      <c r="D6" s="2">
        <f t="array" ref="D6">IFERROR(INDEX(Leads!$E:$E,MATCH(B6,Leads!$A:$A,0)),"")</f>
        <v/>
      </c>
      <c r="E6" s="2">
        <f t="array" ref="E6">IFERROR(INDEX(Leads!$K:$K,MATCH(B6,Leads!$A:$A,0)),"")</f>
        <v/>
      </c>
      <c r="F6" s="2">
        <f t="array" ref="F6">IFERROR(INDEX(Leads!$AC:$AC,MATCH(B6,Leads!$A:$A,0)),"")</f>
        <v/>
      </c>
      <c r="G6" s="2">
        <f t="array" ref="G6">IFERROR(INDEX(Leads!$BM:$BM,MATCH(B6,Leads!$A:$A,0)),"")</f>
        <v/>
      </c>
      <c r="H6" s="2">
        <f t="array" ref="H6">IFERROR(INDEX(Leads!$BL:$BL,MATCH(B6,Leads!$A:$A,0)),"")</f>
        <v/>
      </c>
      <c r="I6" s="2">
        <f t="array" ref="I6">IFERROR(INDEX(Leads!$AF:$AF,MATCH(B6,Leads!$A:$A,0)),"")</f>
        <v/>
      </c>
      <c r="J6" s="2">
        <f t="array" ref="J6">IFERROR(INDEX(Leads!$AE:$AE,MATCH(B6,Leads!$A:$A,0)),"")</f>
        <v/>
      </c>
      <c r="K6" s="2">
        <f t="array" ref="K6">IFERROR(INDEX(Leads!$AG:$AG,MATCH(B6,Leads!$A:$A,0)),"")</f>
        <v/>
      </c>
      <c r="L6" s="2">
        <f t="array" ref="L6">IFERROR(INDEX(Leads!$AZ:$AZ,MATCH(B6,Leads!$A:$A,0)),"")</f>
        <v/>
      </c>
      <c r="M6" s="2">
        <f t="array" ref="M6">IFERROR(INDEX(Leads!$BB:$BB,MATCH(B6,Leads!$A:$A,0)),"")</f>
        <v/>
      </c>
      <c r="N6" s="2">
        <f>IF(I6="","",IF(I6=TODAY(),"FOLLOW UP TODAY",IF(I6&lt;TODAY(),"OVERDUE","HIGH SCORE")))</f>
        <v/>
      </c>
      <c r="O6" s="2">
        <f>IF(N6="FOLLOW UP TODAY","Call / follow up",IF(N6="OVERDUE","Call now","Prioritize outreach"))</f>
        <v/>
      </c>
    </row>
    <row r="7">
      <c r="A7" s="2">
        <f>IF(B7="","",RANK(H7,$H$2:$H$51,0))</f>
        <v/>
      </c>
      <c r="B7" s="2">
        <f t="array" ref="B7">IFERROR(INDEX(Leads!$A:$A,MATCH(LARGE(Leads!$BL$2:$BL$501,ROW()-1),Leads!$BL:$BL,0)),"")</f>
        <v/>
      </c>
      <c r="C7" s="2">
        <f t="array" ref="C7">IFERROR(INDEX(Leads!$B:$B,MATCH(B7,Leads!$A:$A,0)),"")</f>
        <v/>
      </c>
      <c r="D7" s="2">
        <f t="array" ref="D7">IFERROR(INDEX(Leads!$E:$E,MATCH(B7,Leads!$A:$A,0)),"")</f>
        <v/>
      </c>
      <c r="E7" s="2">
        <f t="array" ref="E7">IFERROR(INDEX(Leads!$K:$K,MATCH(B7,Leads!$A:$A,0)),"")</f>
        <v/>
      </c>
      <c r="F7" s="2">
        <f t="array" ref="F7">IFERROR(INDEX(Leads!$AC:$AC,MATCH(B7,Leads!$A:$A,0)),"")</f>
        <v/>
      </c>
      <c r="G7" s="2">
        <f t="array" ref="G7">IFERROR(INDEX(Leads!$BM:$BM,MATCH(B7,Leads!$A:$A,0)),"")</f>
        <v/>
      </c>
      <c r="H7" s="2">
        <f t="array" ref="H7">IFERROR(INDEX(Leads!$BL:$BL,MATCH(B7,Leads!$A:$A,0)),"")</f>
        <v/>
      </c>
      <c r="I7" s="2">
        <f t="array" ref="I7">IFERROR(INDEX(Leads!$AF:$AF,MATCH(B7,Leads!$A:$A,0)),"")</f>
        <v/>
      </c>
      <c r="J7" s="2">
        <f t="array" ref="J7">IFERROR(INDEX(Leads!$AE:$AE,MATCH(B7,Leads!$A:$A,0)),"")</f>
        <v/>
      </c>
      <c r="K7" s="2">
        <f t="array" ref="K7">IFERROR(INDEX(Leads!$AG:$AG,MATCH(B7,Leads!$A:$A,0)),"")</f>
        <v/>
      </c>
      <c r="L7" s="2">
        <f t="array" ref="L7">IFERROR(INDEX(Leads!$AZ:$AZ,MATCH(B7,Leads!$A:$A,0)),"")</f>
        <v/>
      </c>
      <c r="M7" s="2">
        <f t="array" ref="M7">IFERROR(INDEX(Leads!$BB:$BB,MATCH(B7,Leads!$A:$A,0)),"")</f>
        <v/>
      </c>
      <c r="N7" s="2">
        <f>IF(I7="","",IF(I7=TODAY(),"FOLLOW UP TODAY",IF(I7&lt;TODAY(),"OVERDUE","HIGH SCORE")))</f>
        <v/>
      </c>
      <c r="O7" s="2">
        <f>IF(N7="FOLLOW UP TODAY","Call / follow up",IF(N7="OVERDUE","Call now","Prioritize outreach"))</f>
        <v/>
      </c>
    </row>
    <row r="8">
      <c r="A8" s="2">
        <f>IF(B8="","",RANK(H8,$H$2:$H$51,0))</f>
        <v/>
      </c>
      <c r="B8" s="2">
        <f t="array" ref="B8">IFERROR(INDEX(Leads!$A:$A,MATCH(LARGE(Leads!$BL$2:$BL$501,ROW()-1),Leads!$BL:$BL,0)),"")</f>
        <v/>
      </c>
      <c r="C8" s="2">
        <f t="array" ref="C8">IFERROR(INDEX(Leads!$B:$B,MATCH(B8,Leads!$A:$A,0)),"")</f>
        <v/>
      </c>
      <c r="D8" s="2">
        <f t="array" ref="D8">IFERROR(INDEX(Leads!$E:$E,MATCH(B8,Leads!$A:$A,0)),"")</f>
        <v/>
      </c>
      <c r="E8" s="2">
        <f t="array" ref="E8">IFERROR(INDEX(Leads!$K:$K,MATCH(B8,Leads!$A:$A,0)),"")</f>
        <v/>
      </c>
      <c r="F8" s="2">
        <f t="array" ref="F8">IFERROR(INDEX(Leads!$AC:$AC,MATCH(B8,Leads!$A:$A,0)),"")</f>
        <v/>
      </c>
      <c r="G8" s="2">
        <f t="array" ref="G8">IFERROR(INDEX(Leads!$BM:$BM,MATCH(B8,Leads!$A:$A,0)),"")</f>
        <v/>
      </c>
      <c r="H8" s="2">
        <f t="array" ref="H8">IFERROR(INDEX(Leads!$BL:$BL,MATCH(B8,Leads!$A:$A,0)),"")</f>
        <v/>
      </c>
      <c r="I8" s="2">
        <f t="array" ref="I8">IFERROR(INDEX(Leads!$AF:$AF,MATCH(B8,Leads!$A:$A,0)),"")</f>
        <v/>
      </c>
      <c r="J8" s="2">
        <f t="array" ref="J8">IFERROR(INDEX(Leads!$AE:$AE,MATCH(B8,Leads!$A:$A,0)),"")</f>
        <v/>
      </c>
      <c r="K8" s="2">
        <f t="array" ref="K8">IFERROR(INDEX(Leads!$AG:$AG,MATCH(B8,Leads!$A:$A,0)),"")</f>
        <v/>
      </c>
      <c r="L8" s="2">
        <f t="array" ref="L8">IFERROR(INDEX(Leads!$AZ:$AZ,MATCH(B8,Leads!$A:$A,0)),"")</f>
        <v/>
      </c>
      <c r="M8" s="2">
        <f t="array" ref="M8">IFERROR(INDEX(Leads!$BB:$BB,MATCH(B8,Leads!$A:$A,0)),"")</f>
        <v/>
      </c>
      <c r="N8" s="2">
        <f>IF(I8="","",IF(I8=TODAY(),"FOLLOW UP TODAY",IF(I8&lt;TODAY(),"OVERDUE","HIGH SCORE")))</f>
        <v/>
      </c>
      <c r="O8" s="2">
        <f>IF(N8="FOLLOW UP TODAY","Call / follow up",IF(N8="OVERDUE","Call now","Prioritize outreach"))</f>
        <v/>
      </c>
    </row>
    <row r="9">
      <c r="A9" s="2">
        <f>IF(B9="","",RANK(H9,$H$2:$H$51,0))</f>
        <v/>
      </c>
      <c r="B9" s="2">
        <f t="array" ref="B9">IFERROR(INDEX(Leads!$A:$A,MATCH(LARGE(Leads!$BL$2:$BL$501,ROW()-1),Leads!$BL:$BL,0)),"")</f>
        <v/>
      </c>
      <c r="C9" s="2">
        <f t="array" ref="C9">IFERROR(INDEX(Leads!$B:$B,MATCH(B9,Leads!$A:$A,0)),"")</f>
        <v/>
      </c>
      <c r="D9" s="2">
        <f t="array" ref="D9">IFERROR(INDEX(Leads!$E:$E,MATCH(B9,Leads!$A:$A,0)),"")</f>
        <v/>
      </c>
      <c r="E9" s="2">
        <f t="array" ref="E9">IFERROR(INDEX(Leads!$K:$K,MATCH(B9,Leads!$A:$A,0)),"")</f>
        <v/>
      </c>
      <c r="F9" s="2">
        <f t="array" ref="F9">IFERROR(INDEX(Leads!$AC:$AC,MATCH(B9,Leads!$A:$A,0)),"")</f>
        <v/>
      </c>
      <c r="G9" s="2">
        <f t="array" ref="G9">IFERROR(INDEX(Leads!$BM:$BM,MATCH(B9,Leads!$A:$A,0)),"")</f>
        <v/>
      </c>
      <c r="H9" s="2">
        <f t="array" ref="H9">IFERROR(INDEX(Leads!$BL:$BL,MATCH(B9,Leads!$A:$A,0)),"")</f>
        <v/>
      </c>
      <c r="I9" s="2">
        <f t="array" ref="I9">IFERROR(INDEX(Leads!$AF:$AF,MATCH(B9,Leads!$A:$A,0)),"")</f>
        <v/>
      </c>
      <c r="J9" s="2">
        <f t="array" ref="J9">IFERROR(INDEX(Leads!$AE:$AE,MATCH(B9,Leads!$A:$A,0)),"")</f>
        <v/>
      </c>
      <c r="K9" s="2">
        <f t="array" ref="K9">IFERROR(INDEX(Leads!$AG:$AG,MATCH(B9,Leads!$A:$A,0)),"")</f>
        <v/>
      </c>
      <c r="L9" s="2">
        <f t="array" ref="L9">IFERROR(INDEX(Leads!$AZ:$AZ,MATCH(B9,Leads!$A:$A,0)),"")</f>
        <v/>
      </c>
      <c r="M9" s="2">
        <f t="array" ref="M9">IFERROR(INDEX(Leads!$BB:$BB,MATCH(B9,Leads!$A:$A,0)),"")</f>
        <v/>
      </c>
      <c r="N9" s="2">
        <f>IF(I9="","",IF(I9=TODAY(),"FOLLOW UP TODAY",IF(I9&lt;TODAY(),"OVERDUE","HIGH SCORE")))</f>
        <v/>
      </c>
      <c r="O9" s="2">
        <f>IF(N9="FOLLOW UP TODAY","Call / follow up",IF(N9="OVERDUE","Call now","Prioritize outreach"))</f>
        <v/>
      </c>
    </row>
    <row r="10">
      <c r="A10" s="2">
        <f>IF(B10="","",RANK(H10,$H$2:$H$51,0))</f>
        <v/>
      </c>
      <c r="B10" s="2">
        <f t="array" ref="B10">IFERROR(INDEX(Leads!$A:$A,MATCH(LARGE(Leads!$BL$2:$BL$501,ROW()-1),Leads!$BL:$BL,0)),"")</f>
        <v/>
      </c>
      <c r="C10" s="2">
        <f t="array" ref="C10">IFERROR(INDEX(Leads!$B:$B,MATCH(B10,Leads!$A:$A,0)),"")</f>
        <v/>
      </c>
      <c r="D10" s="2">
        <f t="array" ref="D10">IFERROR(INDEX(Leads!$E:$E,MATCH(B10,Leads!$A:$A,0)),"")</f>
        <v/>
      </c>
      <c r="E10" s="2">
        <f t="array" ref="E10">IFERROR(INDEX(Leads!$K:$K,MATCH(B10,Leads!$A:$A,0)),"")</f>
        <v/>
      </c>
      <c r="F10" s="2">
        <f t="array" ref="F10">IFERROR(INDEX(Leads!$AC:$AC,MATCH(B10,Leads!$A:$A,0)),"")</f>
        <v/>
      </c>
      <c r="G10" s="2">
        <f t="array" ref="G10">IFERROR(INDEX(Leads!$BM:$BM,MATCH(B10,Leads!$A:$A,0)),"")</f>
        <v/>
      </c>
      <c r="H10" s="2">
        <f t="array" ref="H10">IFERROR(INDEX(Leads!$BL:$BL,MATCH(B10,Leads!$A:$A,0)),"")</f>
        <v/>
      </c>
      <c r="I10" s="2">
        <f t="array" ref="I10">IFERROR(INDEX(Leads!$AF:$AF,MATCH(B10,Leads!$A:$A,0)),"")</f>
        <v/>
      </c>
      <c r="J10" s="2">
        <f t="array" ref="J10">IFERROR(INDEX(Leads!$AE:$AE,MATCH(B10,Leads!$A:$A,0)),"")</f>
        <v/>
      </c>
      <c r="K10" s="2">
        <f t="array" ref="K10">IFERROR(INDEX(Leads!$AG:$AG,MATCH(B10,Leads!$A:$A,0)),"")</f>
        <v/>
      </c>
      <c r="L10" s="2">
        <f t="array" ref="L10">IFERROR(INDEX(Leads!$AZ:$AZ,MATCH(B10,Leads!$A:$A,0)),"")</f>
        <v/>
      </c>
      <c r="M10" s="2">
        <f t="array" ref="M10">IFERROR(INDEX(Leads!$BB:$BB,MATCH(B10,Leads!$A:$A,0)),"")</f>
        <v/>
      </c>
      <c r="N10" s="2">
        <f>IF(I10="","",IF(I10=TODAY(),"FOLLOW UP TODAY",IF(I10&lt;TODAY(),"OVERDUE","HIGH SCORE")))</f>
        <v/>
      </c>
      <c r="O10" s="2">
        <f>IF(N10="FOLLOW UP TODAY","Call / follow up",IF(N10="OVERDUE","Call now","Prioritize outreach"))</f>
        <v/>
      </c>
    </row>
    <row r="11">
      <c r="A11" s="2">
        <f>IF(B11="","",RANK(H11,$H$2:$H$51,0))</f>
        <v/>
      </c>
      <c r="B11" s="2">
        <f t="array" ref="B11">IFERROR(INDEX(Leads!$A:$A,MATCH(LARGE(Leads!$BL$2:$BL$501,ROW()-1),Leads!$BL:$BL,0)),"")</f>
        <v/>
      </c>
      <c r="C11" s="2">
        <f t="array" ref="C11">IFERROR(INDEX(Leads!$B:$B,MATCH(B11,Leads!$A:$A,0)),"")</f>
        <v/>
      </c>
      <c r="D11" s="2">
        <f t="array" ref="D11">IFERROR(INDEX(Leads!$E:$E,MATCH(B11,Leads!$A:$A,0)),"")</f>
        <v/>
      </c>
      <c r="E11" s="2">
        <f t="array" ref="E11">IFERROR(INDEX(Leads!$K:$K,MATCH(B11,Leads!$A:$A,0)),"")</f>
        <v/>
      </c>
      <c r="F11" s="2">
        <f t="array" ref="F11">IFERROR(INDEX(Leads!$AC:$AC,MATCH(B11,Leads!$A:$A,0)),"")</f>
        <v/>
      </c>
      <c r="G11" s="2">
        <f t="array" ref="G11">IFERROR(INDEX(Leads!$BM:$BM,MATCH(B11,Leads!$A:$A,0)),"")</f>
        <v/>
      </c>
      <c r="H11" s="2">
        <f t="array" ref="H11">IFERROR(INDEX(Leads!$BL:$BL,MATCH(B11,Leads!$A:$A,0)),"")</f>
        <v/>
      </c>
      <c r="I11" s="2">
        <f t="array" ref="I11">IFERROR(INDEX(Leads!$AF:$AF,MATCH(B11,Leads!$A:$A,0)),"")</f>
        <v/>
      </c>
      <c r="J11" s="2">
        <f t="array" ref="J11">IFERROR(INDEX(Leads!$AE:$AE,MATCH(B11,Leads!$A:$A,0)),"")</f>
        <v/>
      </c>
      <c r="K11" s="2">
        <f t="array" ref="K11">IFERROR(INDEX(Leads!$AG:$AG,MATCH(B11,Leads!$A:$A,0)),"")</f>
        <v/>
      </c>
      <c r="L11" s="2">
        <f t="array" ref="L11">IFERROR(INDEX(Leads!$AZ:$AZ,MATCH(B11,Leads!$A:$A,0)),"")</f>
        <v/>
      </c>
      <c r="M11" s="2">
        <f t="array" ref="M11">IFERROR(INDEX(Leads!$BB:$BB,MATCH(B11,Leads!$A:$A,0)),"")</f>
        <v/>
      </c>
      <c r="N11" s="2">
        <f>IF(I11="","",IF(I11=TODAY(),"FOLLOW UP TODAY",IF(I11&lt;TODAY(),"OVERDUE","HIGH SCORE")))</f>
        <v/>
      </c>
      <c r="O11" s="2">
        <f>IF(N11="FOLLOW UP TODAY","Call / follow up",IF(N11="OVERDUE","Call now","Prioritize outreach"))</f>
        <v/>
      </c>
    </row>
    <row r="12">
      <c r="A12" s="2">
        <f>IF(B12="","",RANK(H12,$H$2:$H$51,0))</f>
        <v/>
      </c>
      <c r="B12" s="2">
        <f t="array" ref="B12">IFERROR(INDEX(Leads!$A:$A,MATCH(LARGE(Leads!$BL$2:$BL$501,ROW()-1),Leads!$BL:$BL,0)),"")</f>
        <v/>
      </c>
      <c r="C12" s="2">
        <f t="array" ref="C12">IFERROR(INDEX(Leads!$B:$B,MATCH(B12,Leads!$A:$A,0)),"")</f>
        <v/>
      </c>
      <c r="D12" s="2">
        <f t="array" ref="D12">IFERROR(INDEX(Leads!$E:$E,MATCH(B12,Leads!$A:$A,0)),"")</f>
        <v/>
      </c>
      <c r="E12" s="2">
        <f t="array" ref="E12">IFERROR(INDEX(Leads!$K:$K,MATCH(B12,Leads!$A:$A,0)),"")</f>
        <v/>
      </c>
      <c r="F12" s="2">
        <f t="array" ref="F12">IFERROR(INDEX(Leads!$AC:$AC,MATCH(B12,Leads!$A:$A,0)),"")</f>
        <v/>
      </c>
      <c r="G12" s="2">
        <f t="array" ref="G12">IFERROR(INDEX(Leads!$BM:$BM,MATCH(B12,Leads!$A:$A,0)),"")</f>
        <v/>
      </c>
      <c r="H12" s="2">
        <f t="array" ref="H12">IFERROR(INDEX(Leads!$BL:$BL,MATCH(B12,Leads!$A:$A,0)),"")</f>
        <v/>
      </c>
      <c r="I12" s="2">
        <f t="array" ref="I12">IFERROR(INDEX(Leads!$AF:$AF,MATCH(B12,Leads!$A:$A,0)),"")</f>
        <v/>
      </c>
      <c r="J12" s="2">
        <f t="array" ref="J12">IFERROR(INDEX(Leads!$AE:$AE,MATCH(B12,Leads!$A:$A,0)),"")</f>
        <v/>
      </c>
      <c r="K12" s="2">
        <f t="array" ref="K12">IFERROR(INDEX(Leads!$AG:$AG,MATCH(B12,Leads!$A:$A,0)),"")</f>
        <v/>
      </c>
      <c r="L12" s="2">
        <f t="array" ref="L12">IFERROR(INDEX(Leads!$AZ:$AZ,MATCH(B12,Leads!$A:$A,0)),"")</f>
        <v/>
      </c>
      <c r="M12" s="2">
        <f t="array" ref="M12">IFERROR(INDEX(Leads!$BB:$BB,MATCH(B12,Leads!$A:$A,0)),"")</f>
        <v/>
      </c>
      <c r="N12" s="2">
        <f>IF(I12="","",IF(I12=TODAY(),"FOLLOW UP TODAY",IF(I12&lt;TODAY(),"OVERDUE","HIGH SCORE")))</f>
        <v/>
      </c>
      <c r="O12" s="2">
        <f>IF(N12="FOLLOW UP TODAY","Call / follow up",IF(N12="OVERDUE","Call now","Prioritize outreach"))</f>
        <v/>
      </c>
    </row>
    <row r="13">
      <c r="A13" s="2">
        <f>IF(B13="","",RANK(H13,$H$2:$H$51,0))</f>
        <v/>
      </c>
      <c r="B13" s="2">
        <f t="array" ref="B13">IFERROR(INDEX(Leads!$A:$A,MATCH(LARGE(Leads!$BL$2:$BL$501,ROW()-1),Leads!$BL:$BL,0)),"")</f>
        <v/>
      </c>
      <c r="C13" s="2">
        <f t="array" ref="C13">IFERROR(INDEX(Leads!$B:$B,MATCH(B13,Leads!$A:$A,0)),"")</f>
        <v/>
      </c>
      <c r="D13" s="2">
        <f t="array" ref="D13">IFERROR(INDEX(Leads!$E:$E,MATCH(B13,Leads!$A:$A,0)),"")</f>
        <v/>
      </c>
      <c r="E13" s="2">
        <f t="array" ref="E13">IFERROR(INDEX(Leads!$K:$K,MATCH(B13,Leads!$A:$A,0)),"")</f>
        <v/>
      </c>
      <c r="F13" s="2">
        <f t="array" ref="F13">IFERROR(INDEX(Leads!$AC:$AC,MATCH(B13,Leads!$A:$A,0)),"")</f>
        <v/>
      </c>
      <c r="G13" s="2">
        <f t="array" ref="G13">IFERROR(INDEX(Leads!$BM:$BM,MATCH(B13,Leads!$A:$A,0)),"")</f>
        <v/>
      </c>
      <c r="H13" s="2">
        <f t="array" ref="H13">IFERROR(INDEX(Leads!$BL:$BL,MATCH(B13,Leads!$A:$A,0)),"")</f>
        <v/>
      </c>
      <c r="I13" s="2">
        <f t="array" ref="I13">IFERROR(INDEX(Leads!$AF:$AF,MATCH(B13,Leads!$A:$A,0)),"")</f>
        <v/>
      </c>
      <c r="J13" s="2">
        <f t="array" ref="J13">IFERROR(INDEX(Leads!$AE:$AE,MATCH(B13,Leads!$A:$A,0)),"")</f>
        <v/>
      </c>
      <c r="K13" s="2">
        <f t="array" ref="K13">IFERROR(INDEX(Leads!$AG:$AG,MATCH(B13,Leads!$A:$A,0)),"")</f>
        <v/>
      </c>
      <c r="L13" s="2">
        <f t="array" ref="L13">IFERROR(INDEX(Leads!$AZ:$AZ,MATCH(B13,Leads!$A:$A,0)),"")</f>
        <v/>
      </c>
      <c r="M13" s="2">
        <f t="array" ref="M13">IFERROR(INDEX(Leads!$BB:$BB,MATCH(B13,Leads!$A:$A,0)),"")</f>
        <v/>
      </c>
      <c r="N13" s="2">
        <f>IF(I13="","",IF(I13=TODAY(),"FOLLOW UP TODAY",IF(I13&lt;TODAY(),"OVERDUE","HIGH SCORE")))</f>
        <v/>
      </c>
      <c r="O13" s="2">
        <f>IF(N13="FOLLOW UP TODAY","Call / follow up",IF(N13="OVERDUE","Call now","Prioritize outreach"))</f>
        <v/>
      </c>
    </row>
    <row r="14">
      <c r="A14" s="2">
        <f>IF(B14="","",RANK(H14,$H$2:$H$51,0))</f>
        <v/>
      </c>
      <c r="B14" s="2">
        <f t="array" ref="B14">IFERROR(INDEX(Leads!$A:$A,MATCH(LARGE(Leads!$BL$2:$BL$501,ROW()-1),Leads!$BL:$BL,0)),"")</f>
        <v/>
      </c>
      <c r="C14" s="2">
        <f t="array" ref="C14">IFERROR(INDEX(Leads!$B:$B,MATCH(B14,Leads!$A:$A,0)),"")</f>
        <v/>
      </c>
      <c r="D14" s="2">
        <f t="array" ref="D14">IFERROR(INDEX(Leads!$E:$E,MATCH(B14,Leads!$A:$A,0)),"")</f>
        <v/>
      </c>
      <c r="E14" s="2">
        <f t="array" ref="E14">IFERROR(INDEX(Leads!$K:$K,MATCH(B14,Leads!$A:$A,0)),"")</f>
        <v/>
      </c>
      <c r="F14" s="2">
        <f t="array" ref="F14">IFERROR(INDEX(Leads!$AC:$AC,MATCH(B14,Leads!$A:$A,0)),"")</f>
        <v/>
      </c>
      <c r="G14" s="2">
        <f t="array" ref="G14">IFERROR(INDEX(Leads!$BM:$BM,MATCH(B14,Leads!$A:$A,0)),"")</f>
        <v/>
      </c>
      <c r="H14" s="2">
        <f t="array" ref="H14">IFERROR(INDEX(Leads!$BL:$BL,MATCH(B14,Leads!$A:$A,0)),"")</f>
        <v/>
      </c>
      <c r="I14" s="2">
        <f t="array" ref="I14">IFERROR(INDEX(Leads!$AF:$AF,MATCH(B14,Leads!$A:$A,0)),"")</f>
        <v/>
      </c>
      <c r="J14" s="2">
        <f t="array" ref="J14">IFERROR(INDEX(Leads!$AE:$AE,MATCH(B14,Leads!$A:$A,0)),"")</f>
        <v/>
      </c>
      <c r="K14" s="2">
        <f t="array" ref="K14">IFERROR(INDEX(Leads!$AG:$AG,MATCH(B14,Leads!$A:$A,0)),"")</f>
        <v/>
      </c>
      <c r="L14" s="2">
        <f t="array" ref="L14">IFERROR(INDEX(Leads!$AZ:$AZ,MATCH(B14,Leads!$A:$A,0)),"")</f>
        <v/>
      </c>
      <c r="M14" s="2">
        <f t="array" ref="M14">IFERROR(INDEX(Leads!$BB:$BB,MATCH(B14,Leads!$A:$A,0)),"")</f>
        <v/>
      </c>
      <c r="N14" s="2">
        <f>IF(I14="","",IF(I14=TODAY(),"FOLLOW UP TODAY",IF(I14&lt;TODAY(),"OVERDUE","HIGH SCORE")))</f>
        <v/>
      </c>
      <c r="O14" s="2">
        <f>IF(N14="FOLLOW UP TODAY","Call / follow up",IF(N14="OVERDUE","Call now","Prioritize outreach"))</f>
        <v/>
      </c>
    </row>
    <row r="15">
      <c r="A15" s="2">
        <f>IF(B15="","",RANK(H15,$H$2:$H$51,0))</f>
        <v/>
      </c>
      <c r="B15" s="2">
        <f t="array" ref="B15">IFERROR(INDEX(Leads!$A:$A,MATCH(LARGE(Leads!$BL$2:$BL$501,ROW()-1),Leads!$BL:$BL,0)),"")</f>
        <v/>
      </c>
      <c r="C15" s="2">
        <f t="array" ref="C15">IFERROR(INDEX(Leads!$B:$B,MATCH(B15,Leads!$A:$A,0)),"")</f>
        <v/>
      </c>
      <c r="D15" s="2">
        <f t="array" ref="D15">IFERROR(INDEX(Leads!$E:$E,MATCH(B15,Leads!$A:$A,0)),"")</f>
        <v/>
      </c>
      <c r="E15" s="2">
        <f t="array" ref="E15">IFERROR(INDEX(Leads!$K:$K,MATCH(B15,Leads!$A:$A,0)),"")</f>
        <v/>
      </c>
      <c r="F15" s="2">
        <f t="array" ref="F15">IFERROR(INDEX(Leads!$AC:$AC,MATCH(B15,Leads!$A:$A,0)),"")</f>
        <v/>
      </c>
      <c r="G15" s="2">
        <f t="array" ref="G15">IFERROR(INDEX(Leads!$BM:$BM,MATCH(B15,Leads!$A:$A,0)),"")</f>
        <v/>
      </c>
      <c r="H15" s="2">
        <f t="array" ref="H15">IFERROR(INDEX(Leads!$BL:$BL,MATCH(B15,Leads!$A:$A,0)),"")</f>
        <v/>
      </c>
      <c r="I15" s="2">
        <f t="array" ref="I15">IFERROR(INDEX(Leads!$AF:$AF,MATCH(B15,Leads!$A:$A,0)),"")</f>
        <v/>
      </c>
      <c r="J15" s="2">
        <f t="array" ref="J15">IFERROR(INDEX(Leads!$AE:$AE,MATCH(B15,Leads!$A:$A,0)),"")</f>
        <v/>
      </c>
      <c r="K15" s="2">
        <f t="array" ref="K15">IFERROR(INDEX(Leads!$AG:$AG,MATCH(B15,Leads!$A:$A,0)),"")</f>
        <v/>
      </c>
      <c r="L15" s="2">
        <f t="array" ref="L15">IFERROR(INDEX(Leads!$AZ:$AZ,MATCH(B15,Leads!$A:$A,0)),"")</f>
        <v/>
      </c>
      <c r="M15" s="2">
        <f t="array" ref="M15">IFERROR(INDEX(Leads!$BB:$BB,MATCH(B15,Leads!$A:$A,0)),"")</f>
        <v/>
      </c>
      <c r="N15" s="2">
        <f>IF(I15="","",IF(I15=TODAY(),"FOLLOW UP TODAY",IF(I15&lt;TODAY(),"OVERDUE","HIGH SCORE")))</f>
        <v/>
      </c>
      <c r="O15" s="2">
        <f>IF(N15="FOLLOW UP TODAY","Call / follow up",IF(N15="OVERDUE","Call now","Prioritize outreach"))</f>
        <v/>
      </c>
    </row>
    <row r="16">
      <c r="A16" s="2">
        <f>IF(B16="","",RANK(H16,$H$2:$H$51,0))</f>
        <v/>
      </c>
      <c r="B16" s="2">
        <f t="array" ref="B16">IFERROR(INDEX(Leads!$A:$A,MATCH(LARGE(Leads!$BL$2:$BL$501,ROW()-1),Leads!$BL:$BL,0)),"")</f>
        <v/>
      </c>
      <c r="C16" s="2">
        <f t="array" ref="C16">IFERROR(INDEX(Leads!$B:$B,MATCH(B16,Leads!$A:$A,0)),"")</f>
        <v/>
      </c>
      <c r="D16" s="2">
        <f t="array" ref="D16">IFERROR(INDEX(Leads!$E:$E,MATCH(B16,Leads!$A:$A,0)),"")</f>
        <v/>
      </c>
      <c r="E16" s="2">
        <f t="array" ref="E16">IFERROR(INDEX(Leads!$K:$K,MATCH(B16,Leads!$A:$A,0)),"")</f>
        <v/>
      </c>
      <c r="F16" s="2">
        <f t="array" ref="F16">IFERROR(INDEX(Leads!$AC:$AC,MATCH(B16,Leads!$A:$A,0)),"")</f>
        <v/>
      </c>
      <c r="G16" s="2">
        <f t="array" ref="G16">IFERROR(INDEX(Leads!$BM:$BM,MATCH(B16,Leads!$A:$A,0)),"")</f>
        <v/>
      </c>
      <c r="H16" s="2">
        <f t="array" ref="H16">IFERROR(INDEX(Leads!$BL:$BL,MATCH(B16,Leads!$A:$A,0)),"")</f>
        <v/>
      </c>
      <c r="I16" s="2">
        <f t="array" ref="I16">IFERROR(INDEX(Leads!$AF:$AF,MATCH(B16,Leads!$A:$A,0)),"")</f>
        <v/>
      </c>
      <c r="J16" s="2">
        <f t="array" ref="J16">IFERROR(INDEX(Leads!$AE:$AE,MATCH(B16,Leads!$A:$A,0)),"")</f>
        <v/>
      </c>
      <c r="K16" s="2">
        <f t="array" ref="K16">IFERROR(INDEX(Leads!$AG:$AG,MATCH(B16,Leads!$A:$A,0)),"")</f>
        <v/>
      </c>
      <c r="L16" s="2">
        <f t="array" ref="L16">IFERROR(INDEX(Leads!$AZ:$AZ,MATCH(B16,Leads!$A:$A,0)),"")</f>
        <v/>
      </c>
      <c r="M16" s="2">
        <f t="array" ref="M16">IFERROR(INDEX(Leads!$BB:$BB,MATCH(B16,Leads!$A:$A,0)),"")</f>
        <v/>
      </c>
      <c r="N16" s="2">
        <f>IF(I16="","",IF(I16=TODAY(),"FOLLOW UP TODAY",IF(I16&lt;TODAY(),"OVERDUE","HIGH SCORE")))</f>
        <v/>
      </c>
      <c r="O16" s="2">
        <f>IF(N16="FOLLOW UP TODAY","Call / follow up",IF(N16="OVERDUE","Call now","Prioritize outreach"))</f>
        <v/>
      </c>
    </row>
    <row r="17">
      <c r="A17" s="2">
        <f>IF(B17="","",RANK(H17,$H$2:$H$51,0))</f>
        <v/>
      </c>
      <c r="B17" s="2">
        <f t="array" ref="B17">IFERROR(INDEX(Leads!$A:$A,MATCH(LARGE(Leads!$BL$2:$BL$501,ROW()-1),Leads!$BL:$BL,0)),"")</f>
        <v/>
      </c>
      <c r="C17" s="2">
        <f t="array" ref="C17">IFERROR(INDEX(Leads!$B:$B,MATCH(B17,Leads!$A:$A,0)),"")</f>
        <v/>
      </c>
      <c r="D17" s="2">
        <f t="array" ref="D17">IFERROR(INDEX(Leads!$E:$E,MATCH(B17,Leads!$A:$A,0)),"")</f>
        <v/>
      </c>
      <c r="E17" s="2">
        <f t="array" ref="E17">IFERROR(INDEX(Leads!$K:$K,MATCH(B17,Leads!$A:$A,0)),"")</f>
        <v/>
      </c>
      <c r="F17" s="2">
        <f t="array" ref="F17">IFERROR(INDEX(Leads!$AC:$AC,MATCH(B17,Leads!$A:$A,0)),"")</f>
        <v/>
      </c>
      <c r="G17" s="2">
        <f t="array" ref="G17">IFERROR(INDEX(Leads!$BM:$BM,MATCH(B17,Leads!$A:$A,0)),"")</f>
        <v/>
      </c>
      <c r="H17" s="2">
        <f t="array" ref="H17">IFERROR(INDEX(Leads!$BL:$BL,MATCH(B17,Leads!$A:$A,0)),"")</f>
        <v/>
      </c>
      <c r="I17" s="2">
        <f t="array" ref="I17">IFERROR(INDEX(Leads!$AF:$AF,MATCH(B17,Leads!$A:$A,0)),"")</f>
        <v/>
      </c>
      <c r="J17" s="2">
        <f t="array" ref="J17">IFERROR(INDEX(Leads!$AE:$AE,MATCH(B17,Leads!$A:$A,0)),"")</f>
        <v/>
      </c>
      <c r="K17" s="2">
        <f t="array" ref="K17">IFERROR(INDEX(Leads!$AG:$AG,MATCH(B17,Leads!$A:$A,0)),"")</f>
        <v/>
      </c>
      <c r="L17" s="2">
        <f t="array" ref="L17">IFERROR(INDEX(Leads!$AZ:$AZ,MATCH(B17,Leads!$A:$A,0)),"")</f>
        <v/>
      </c>
      <c r="M17" s="2">
        <f t="array" ref="M17">IFERROR(INDEX(Leads!$BB:$BB,MATCH(B17,Leads!$A:$A,0)),"")</f>
        <v/>
      </c>
      <c r="N17" s="2">
        <f>IF(I17="","",IF(I17=TODAY(),"FOLLOW UP TODAY",IF(I17&lt;TODAY(),"OVERDUE","HIGH SCORE")))</f>
        <v/>
      </c>
      <c r="O17" s="2">
        <f>IF(N17="FOLLOW UP TODAY","Call / follow up",IF(N17="OVERDUE","Call now","Prioritize outreach"))</f>
        <v/>
      </c>
    </row>
    <row r="18">
      <c r="A18" s="2">
        <f>IF(B18="","",RANK(H18,$H$2:$H$51,0))</f>
        <v/>
      </c>
      <c r="B18" s="2">
        <f t="array" ref="B18">IFERROR(INDEX(Leads!$A:$A,MATCH(LARGE(Leads!$BL$2:$BL$501,ROW()-1),Leads!$BL:$BL,0)),"")</f>
        <v/>
      </c>
      <c r="C18" s="2">
        <f t="array" ref="C18">IFERROR(INDEX(Leads!$B:$B,MATCH(B18,Leads!$A:$A,0)),"")</f>
        <v/>
      </c>
      <c r="D18" s="2">
        <f t="array" ref="D18">IFERROR(INDEX(Leads!$E:$E,MATCH(B18,Leads!$A:$A,0)),"")</f>
        <v/>
      </c>
      <c r="E18" s="2">
        <f t="array" ref="E18">IFERROR(INDEX(Leads!$K:$K,MATCH(B18,Leads!$A:$A,0)),"")</f>
        <v/>
      </c>
      <c r="F18" s="2">
        <f t="array" ref="F18">IFERROR(INDEX(Leads!$AC:$AC,MATCH(B18,Leads!$A:$A,0)),"")</f>
        <v/>
      </c>
      <c r="G18" s="2">
        <f t="array" ref="G18">IFERROR(INDEX(Leads!$BM:$BM,MATCH(B18,Leads!$A:$A,0)),"")</f>
        <v/>
      </c>
      <c r="H18" s="2">
        <f t="array" ref="H18">IFERROR(INDEX(Leads!$BL:$BL,MATCH(B18,Leads!$A:$A,0)),"")</f>
        <v/>
      </c>
      <c r="I18" s="2">
        <f t="array" ref="I18">IFERROR(INDEX(Leads!$AF:$AF,MATCH(B18,Leads!$A:$A,0)),"")</f>
        <v/>
      </c>
      <c r="J18" s="2">
        <f t="array" ref="J18">IFERROR(INDEX(Leads!$AE:$AE,MATCH(B18,Leads!$A:$A,0)),"")</f>
        <v/>
      </c>
      <c r="K18" s="2">
        <f t="array" ref="K18">IFERROR(INDEX(Leads!$AG:$AG,MATCH(B18,Leads!$A:$A,0)),"")</f>
        <v/>
      </c>
      <c r="L18" s="2">
        <f t="array" ref="L18">IFERROR(INDEX(Leads!$AZ:$AZ,MATCH(B18,Leads!$A:$A,0)),"")</f>
        <v/>
      </c>
      <c r="M18" s="2">
        <f t="array" ref="M18">IFERROR(INDEX(Leads!$BB:$BB,MATCH(B18,Leads!$A:$A,0)),"")</f>
        <v/>
      </c>
      <c r="N18" s="2">
        <f>IF(I18="","",IF(I18=TODAY(),"FOLLOW UP TODAY",IF(I18&lt;TODAY(),"OVERDUE","HIGH SCORE")))</f>
        <v/>
      </c>
      <c r="O18" s="2">
        <f>IF(N18="FOLLOW UP TODAY","Call / follow up",IF(N18="OVERDUE","Call now","Prioritize outreach"))</f>
        <v/>
      </c>
    </row>
    <row r="19">
      <c r="A19" s="2">
        <f>IF(B19="","",RANK(H19,$H$2:$H$51,0))</f>
        <v/>
      </c>
      <c r="B19" s="2">
        <f t="array" ref="B19">IFERROR(INDEX(Leads!$A:$A,MATCH(LARGE(Leads!$BL$2:$BL$501,ROW()-1),Leads!$BL:$BL,0)),"")</f>
        <v/>
      </c>
      <c r="C19" s="2">
        <f t="array" ref="C19">IFERROR(INDEX(Leads!$B:$B,MATCH(B19,Leads!$A:$A,0)),"")</f>
        <v/>
      </c>
      <c r="D19" s="2">
        <f t="array" ref="D19">IFERROR(INDEX(Leads!$E:$E,MATCH(B19,Leads!$A:$A,0)),"")</f>
        <v/>
      </c>
      <c r="E19" s="2">
        <f t="array" ref="E19">IFERROR(INDEX(Leads!$K:$K,MATCH(B19,Leads!$A:$A,0)),"")</f>
        <v/>
      </c>
      <c r="F19" s="2">
        <f t="array" ref="F19">IFERROR(INDEX(Leads!$AC:$AC,MATCH(B19,Leads!$A:$A,0)),"")</f>
        <v/>
      </c>
      <c r="G19" s="2">
        <f t="array" ref="G19">IFERROR(INDEX(Leads!$BM:$BM,MATCH(B19,Leads!$A:$A,0)),"")</f>
        <v/>
      </c>
      <c r="H19" s="2">
        <f t="array" ref="H19">IFERROR(INDEX(Leads!$BL:$BL,MATCH(B19,Leads!$A:$A,0)),"")</f>
        <v/>
      </c>
      <c r="I19" s="2">
        <f t="array" ref="I19">IFERROR(INDEX(Leads!$AF:$AF,MATCH(B19,Leads!$A:$A,0)),"")</f>
        <v/>
      </c>
      <c r="J19" s="2">
        <f t="array" ref="J19">IFERROR(INDEX(Leads!$AE:$AE,MATCH(B19,Leads!$A:$A,0)),"")</f>
        <v/>
      </c>
      <c r="K19" s="2">
        <f t="array" ref="K19">IFERROR(INDEX(Leads!$AG:$AG,MATCH(B19,Leads!$A:$A,0)),"")</f>
        <v/>
      </c>
      <c r="L19" s="2">
        <f t="array" ref="L19">IFERROR(INDEX(Leads!$AZ:$AZ,MATCH(B19,Leads!$A:$A,0)),"")</f>
        <v/>
      </c>
      <c r="M19" s="2">
        <f t="array" ref="M19">IFERROR(INDEX(Leads!$BB:$BB,MATCH(B19,Leads!$A:$A,0)),"")</f>
        <v/>
      </c>
      <c r="N19" s="2">
        <f>IF(I19="","",IF(I19=TODAY(),"FOLLOW UP TODAY",IF(I19&lt;TODAY(),"OVERDUE","HIGH SCORE")))</f>
        <v/>
      </c>
      <c r="O19" s="2">
        <f>IF(N19="FOLLOW UP TODAY","Call / follow up",IF(N19="OVERDUE","Call now","Prioritize outreach"))</f>
        <v/>
      </c>
    </row>
    <row r="20">
      <c r="A20" s="2">
        <f>IF(B20="","",RANK(H20,$H$2:$H$51,0))</f>
        <v/>
      </c>
      <c r="B20" s="2">
        <f t="array" ref="B20">IFERROR(INDEX(Leads!$A:$A,MATCH(LARGE(Leads!$BL$2:$BL$501,ROW()-1),Leads!$BL:$BL,0)),"")</f>
        <v/>
      </c>
      <c r="C20" s="2">
        <f t="array" ref="C20">IFERROR(INDEX(Leads!$B:$B,MATCH(B20,Leads!$A:$A,0)),"")</f>
        <v/>
      </c>
      <c r="D20" s="2">
        <f t="array" ref="D20">IFERROR(INDEX(Leads!$E:$E,MATCH(B20,Leads!$A:$A,0)),"")</f>
        <v/>
      </c>
      <c r="E20" s="2">
        <f t="array" ref="E20">IFERROR(INDEX(Leads!$K:$K,MATCH(B20,Leads!$A:$A,0)),"")</f>
        <v/>
      </c>
      <c r="F20" s="2">
        <f t="array" ref="F20">IFERROR(INDEX(Leads!$AC:$AC,MATCH(B20,Leads!$A:$A,0)),"")</f>
        <v/>
      </c>
      <c r="G20" s="2">
        <f t="array" ref="G20">IFERROR(INDEX(Leads!$BM:$BM,MATCH(B20,Leads!$A:$A,0)),"")</f>
        <v/>
      </c>
      <c r="H20" s="2">
        <f t="array" ref="H20">IFERROR(INDEX(Leads!$BL:$BL,MATCH(B20,Leads!$A:$A,0)),"")</f>
        <v/>
      </c>
      <c r="I20" s="2">
        <f t="array" ref="I20">IFERROR(INDEX(Leads!$AF:$AF,MATCH(B20,Leads!$A:$A,0)),"")</f>
        <v/>
      </c>
      <c r="J20" s="2">
        <f t="array" ref="J20">IFERROR(INDEX(Leads!$AE:$AE,MATCH(B20,Leads!$A:$A,0)),"")</f>
        <v/>
      </c>
      <c r="K20" s="2">
        <f t="array" ref="K20">IFERROR(INDEX(Leads!$AG:$AG,MATCH(B20,Leads!$A:$A,0)),"")</f>
        <v/>
      </c>
      <c r="L20" s="2">
        <f t="array" ref="L20">IFERROR(INDEX(Leads!$AZ:$AZ,MATCH(B20,Leads!$A:$A,0)),"")</f>
        <v/>
      </c>
      <c r="M20" s="2">
        <f t="array" ref="M20">IFERROR(INDEX(Leads!$BB:$BB,MATCH(B20,Leads!$A:$A,0)),"")</f>
        <v/>
      </c>
      <c r="N20" s="2">
        <f>IF(I20="","",IF(I20=TODAY(),"FOLLOW UP TODAY",IF(I20&lt;TODAY(),"OVERDUE","HIGH SCORE")))</f>
        <v/>
      </c>
      <c r="O20" s="2">
        <f>IF(N20="FOLLOW UP TODAY","Call / follow up",IF(N20="OVERDUE","Call now","Prioritize outreach"))</f>
        <v/>
      </c>
    </row>
    <row r="21" ht="15.75" customHeight="1" s="19">
      <c r="A21" s="2">
        <f>IF(B21="","",RANK(H21,$H$2:$H$51,0))</f>
        <v/>
      </c>
      <c r="B21" s="2">
        <f t="array" ref="B21">IFERROR(INDEX(Leads!$A:$A,MATCH(LARGE(Leads!$BL$2:$BL$501,ROW()-1),Leads!$BL:$BL,0)),"")</f>
        <v/>
      </c>
      <c r="C21" s="2">
        <f t="array" ref="C21">IFERROR(INDEX(Leads!$B:$B,MATCH(B21,Leads!$A:$A,0)),"")</f>
        <v/>
      </c>
      <c r="D21" s="2">
        <f t="array" ref="D21">IFERROR(INDEX(Leads!$E:$E,MATCH(B21,Leads!$A:$A,0)),"")</f>
        <v/>
      </c>
      <c r="E21" s="2">
        <f t="array" ref="E21">IFERROR(INDEX(Leads!$K:$K,MATCH(B21,Leads!$A:$A,0)),"")</f>
        <v/>
      </c>
      <c r="F21" s="2">
        <f t="array" ref="F21">IFERROR(INDEX(Leads!$AC:$AC,MATCH(B21,Leads!$A:$A,0)),"")</f>
        <v/>
      </c>
      <c r="G21" s="2">
        <f t="array" ref="G21">IFERROR(INDEX(Leads!$BM:$BM,MATCH(B21,Leads!$A:$A,0)),"")</f>
        <v/>
      </c>
      <c r="H21" s="2">
        <f t="array" ref="H21">IFERROR(INDEX(Leads!$BL:$BL,MATCH(B21,Leads!$A:$A,0)),"")</f>
        <v/>
      </c>
      <c r="I21" s="2">
        <f t="array" ref="I21">IFERROR(INDEX(Leads!$AF:$AF,MATCH(B21,Leads!$A:$A,0)),"")</f>
        <v/>
      </c>
      <c r="J21" s="2">
        <f t="array" ref="J21">IFERROR(INDEX(Leads!$AE:$AE,MATCH(B21,Leads!$A:$A,0)),"")</f>
        <v/>
      </c>
      <c r="K21" s="2">
        <f t="array" ref="K21">IFERROR(INDEX(Leads!$AG:$AG,MATCH(B21,Leads!$A:$A,0)),"")</f>
        <v/>
      </c>
      <c r="L21" s="2">
        <f t="array" ref="L21">IFERROR(INDEX(Leads!$AZ:$AZ,MATCH(B21,Leads!$A:$A,0)),"")</f>
        <v/>
      </c>
      <c r="M21" s="2">
        <f t="array" ref="M21">IFERROR(INDEX(Leads!$BB:$BB,MATCH(B21,Leads!$A:$A,0)),"")</f>
        <v/>
      </c>
      <c r="N21" s="2">
        <f>IF(I21="","",IF(I21=TODAY(),"FOLLOW UP TODAY",IF(I21&lt;TODAY(),"OVERDUE","HIGH SCORE")))</f>
        <v/>
      </c>
      <c r="O21" s="2">
        <f>IF(N21="FOLLOW UP TODAY","Call / follow up",IF(N21="OVERDUE","Call now","Prioritize outreach"))</f>
        <v/>
      </c>
    </row>
    <row r="22" ht="15.75" customHeight="1" s="19">
      <c r="A22" s="2">
        <f>IF(B22="","",RANK(H22,$H$2:$H$51,0))</f>
        <v/>
      </c>
      <c r="B22" s="2">
        <f t="array" ref="B22">IFERROR(INDEX(Leads!$A:$A,MATCH(LARGE(Leads!$BL$2:$BL$501,ROW()-1),Leads!$BL:$BL,0)),"")</f>
        <v/>
      </c>
      <c r="C22" s="2">
        <f t="array" ref="C22">IFERROR(INDEX(Leads!$B:$B,MATCH(B22,Leads!$A:$A,0)),"")</f>
        <v/>
      </c>
      <c r="D22" s="2">
        <f t="array" ref="D22">IFERROR(INDEX(Leads!$E:$E,MATCH(B22,Leads!$A:$A,0)),"")</f>
        <v/>
      </c>
      <c r="E22" s="2">
        <f t="array" ref="E22">IFERROR(INDEX(Leads!$K:$K,MATCH(B22,Leads!$A:$A,0)),"")</f>
        <v/>
      </c>
      <c r="F22" s="2">
        <f t="array" ref="F22">IFERROR(INDEX(Leads!$AC:$AC,MATCH(B22,Leads!$A:$A,0)),"")</f>
        <v/>
      </c>
      <c r="G22" s="2">
        <f t="array" ref="G22">IFERROR(INDEX(Leads!$BM:$BM,MATCH(B22,Leads!$A:$A,0)),"")</f>
        <v/>
      </c>
      <c r="H22" s="2">
        <f t="array" ref="H22">IFERROR(INDEX(Leads!$BL:$BL,MATCH(B22,Leads!$A:$A,0)),"")</f>
        <v/>
      </c>
      <c r="I22" s="2">
        <f t="array" ref="I22">IFERROR(INDEX(Leads!$AF:$AF,MATCH(B22,Leads!$A:$A,0)),"")</f>
        <v/>
      </c>
      <c r="J22" s="2">
        <f t="array" ref="J22">IFERROR(INDEX(Leads!$AE:$AE,MATCH(B22,Leads!$A:$A,0)),"")</f>
        <v/>
      </c>
      <c r="K22" s="2">
        <f t="array" ref="K22">IFERROR(INDEX(Leads!$AG:$AG,MATCH(B22,Leads!$A:$A,0)),"")</f>
        <v/>
      </c>
      <c r="L22" s="2">
        <f t="array" ref="L22">IFERROR(INDEX(Leads!$AZ:$AZ,MATCH(B22,Leads!$A:$A,0)),"")</f>
        <v/>
      </c>
      <c r="M22" s="2">
        <f t="array" ref="M22">IFERROR(INDEX(Leads!$BB:$BB,MATCH(B22,Leads!$A:$A,0)),"")</f>
        <v/>
      </c>
      <c r="N22" s="2">
        <f>IF(I22="","",IF(I22=TODAY(),"FOLLOW UP TODAY",IF(I22&lt;TODAY(),"OVERDUE","HIGH SCORE")))</f>
        <v/>
      </c>
      <c r="O22" s="2">
        <f>IF(N22="FOLLOW UP TODAY","Call / follow up",IF(N22="OVERDUE","Call now","Prioritize outreach"))</f>
        <v/>
      </c>
    </row>
    <row r="23" ht="15.75" customHeight="1" s="19">
      <c r="A23" s="2">
        <f>IF(B23="","",RANK(H23,$H$2:$H$51,0))</f>
        <v/>
      </c>
      <c r="B23" s="2">
        <f t="array" ref="B23">IFERROR(INDEX(Leads!$A:$A,MATCH(LARGE(Leads!$BL$2:$BL$501,ROW()-1),Leads!$BL:$BL,0)),"")</f>
        <v/>
      </c>
      <c r="C23" s="2">
        <f t="array" ref="C23">IFERROR(INDEX(Leads!$B:$B,MATCH(B23,Leads!$A:$A,0)),"")</f>
        <v/>
      </c>
      <c r="D23" s="2">
        <f t="array" ref="D23">IFERROR(INDEX(Leads!$E:$E,MATCH(B23,Leads!$A:$A,0)),"")</f>
        <v/>
      </c>
      <c r="E23" s="2">
        <f t="array" ref="E23">IFERROR(INDEX(Leads!$K:$K,MATCH(B23,Leads!$A:$A,0)),"")</f>
        <v/>
      </c>
      <c r="F23" s="2">
        <f t="array" ref="F23">IFERROR(INDEX(Leads!$AC:$AC,MATCH(B23,Leads!$A:$A,0)),"")</f>
        <v/>
      </c>
      <c r="G23" s="2">
        <f t="array" ref="G23">IFERROR(INDEX(Leads!$BM:$BM,MATCH(B23,Leads!$A:$A,0)),"")</f>
        <v/>
      </c>
      <c r="H23" s="2">
        <f t="array" ref="H23">IFERROR(INDEX(Leads!$BL:$BL,MATCH(B23,Leads!$A:$A,0)),"")</f>
        <v/>
      </c>
      <c r="I23" s="2">
        <f t="array" ref="I23">IFERROR(INDEX(Leads!$AF:$AF,MATCH(B23,Leads!$A:$A,0)),"")</f>
        <v/>
      </c>
      <c r="J23" s="2">
        <f t="array" ref="J23">IFERROR(INDEX(Leads!$AE:$AE,MATCH(B23,Leads!$A:$A,0)),"")</f>
        <v/>
      </c>
      <c r="K23" s="2">
        <f t="array" ref="K23">IFERROR(INDEX(Leads!$AG:$AG,MATCH(B23,Leads!$A:$A,0)),"")</f>
        <v/>
      </c>
      <c r="L23" s="2">
        <f t="array" ref="L23">IFERROR(INDEX(Leads!$AZ:$AZ,MATCH(B23,Leads!$A:$A,0)),"")</f>
        <v/>
      </c>
      <c r="M23" s="2">
        <f t="array" ref="M23">IFERROR(INDEX(Leads!$BB:$BB,MATCH(B23,Leads!$A:$A,0)),"")</f>
        <v/>
      </c>
      <c r="N23" s="2">
        <f>IF(I23="","",IF(I23=TODAY(),"FOLLOW UP TODAY",IF(I23&lt;TODAY(),"OVERDUE","HIGH SCORE")))</f>
        <v/>
      </c>
      <c r="O23" s="2">
        <f>IF(N23="FOLLOW UP TODAY","Call / follow up",IF(N23="OVERDUE","Call now","Prioritize outreach"))</f>
        <v/>
      </c>
    </row>
    <row r="24" ht="15.75" customHeight="1" s="19">
      <c r="A24" s="2">
        <f>IF(B24="","",RANK(H24,$H$2:$H$51,0))</f>
        <v/>
      </c>
      <c r="B24" s="2">
        <f t="array" ref="B24">IFERROR(INDEX(Leads!$A:$A,MATCH(LARGE(Leads!$BL$2:$BL$501,ROW()-1),Leads!$BL:$BL,0)),"")</f>
        <v/>
      </c>
      <c r="C24" s="2">
        <f t="array" ref="C24">IFERROR(INDEX(Leads!$B:$B,MATCH(B24,Leads!$A:$A,0)),"")</f>
        <v/>
      </c>
      <c r="D24" s="2">
        <f t="array" ref="D24">IFERROR(INDEX(Leads!$E:$E,MATCH(B24,Leads!$A:$A,0)),"")</f>
        <v/>
      </c>
      <c r="E24" s="2">
        <f t="array" ref="E24">IFERROR(INDEX(Leads!$K:$K,MATCH(B24,Leads!$A:$A,0)),"")</f>
        <v/>
      </c>
      <c r="F24" s="2">
        <f t="array" ref="F24">IFERROR(INDEX(Leads!$AC:$AC,MATCH(B24,Leads!$A:$A,0)),"")</f>
        <v/>
      </c>
      <c r="G24" s="2">
        <f t="array" ref="G24">IFERROR(INDEX(Leads!$BM:$BM,MATCH(B24,Leads!$A:$A,0)),"")</f>
        <v/>
      </c>
      <c r="H24" s="2">
        <f t="array" ref="H24">IFERROR(INDEX(Leads!$BL:$BL,MATCH(B24,Leads!$A:$A,0)),"")</f>
        <v/>
      </c>
      <c r="I24" s="2">
        <f t="array" ref="I24">IFERROR(INDEX(Leads!$AF:$AF,MATCH(B24,Leads!$A:$A,0)),"")</f>
        <v/>
      </c>
      <c r="J24" s="2">
        <f t="array" ref="J24">IFERROR(INDEX(Leads!$AE:$AE,MATCH(B24,Leads!$A:$A,0)),"")</f>
        <v/>
      </c>
      <c r="K24" s="2">
        <f t="array" ref="K24">IFERROR(INDEX(Leads!$AG:$AG,MATCH(B24,Leads!$A:$A,0)),"")</f>
        <v/>
      </c>
      <c r="L24" s="2">
        <f t="array" ref="L24">IFERROR(INDEX(Leads!$AZ:$AZ,MATCH(B24,Leads!$A:$A,0)),"")</f>
        <v/>
      </c>
      <c r="M24" s="2">
        <f t="array" ref="M24">IFERROR(INDEX(Leads!$BB:$BB,MATCH(B24,Leads!$A:$A,0)),"")</f>
        <v/>
      </c>
      <c r="N24" s="2">
        <f>IF(I24="","",IF(I24=TODAY(),"FOLLOW UP TODAY",IF(I24&lt;TODAY(),"OVERDUE","HIGH SCORE")))</f>
        <v/>
      </c>
      <c r="O24" s="2">
        <f>IF(N24="FOLLOW UP TODAY","Call / follow up",IF(N24="OVERDUE","Call now","Prioritize outreach"))</f>
        <v/>
      </c>
    </row>
    <row r="25" ht="15.75" customHeight="1" s="19">
      <c r="A25" s="2">
        <f>IF(B25="","",RANK(H25,$H$2:$H$51,0))</f>
        <v/>
      </c>
      <c r="B25" s="2">
        <f t="array" ref="B25">IFERROR(INDEX(Leads!$A:$A,MATCH(LARGE(Leads!$BL$2:$BL$501,ROW()-1),Leads!$BL:$BL,0)),"")</f>
        <v/>
      </c>
      <c r="C25" s="2">
        <f t="array" ref="C25">IFERROR(INDEX(Leads!$B:$B,MATCH(B25,Leads!$A:$A,0)),"")</f>
        <v/>
      </c>
      <c r="D25" s="2">
        <f t="array" ref="D25">IFERROR(INDEX(Leads!$E:$E,MATCH(B25,Leads!$A:$A,0)),"")</f>
        <v/>
      </c>
      <c r="E25" s="2">
        <f t="array" ref="E25">IFERROR(INDEX(Leads!$K:$K,MATCH(B25,Leads!$A:$A,0)),"")</f>
        <v/>
      </c>
      <c r="F25" s="2">
        <f t="array" ref="F25">IFERROR(INDEX(Leads!$AC:$AC,MATCH(B25,Leads!$A:$A,0)),"")</f>
        <v/>
      </c>
      <c r="G25" s="2">
        <f t="array" ref="G25">IFERROR(INDEX(Leads!$BM:$BM,MATCH(B25,Leads!$A:$A,0)),"")</f>
        <v/>
      </c>
      <c r="H25" s="2">
        <f t="array" ref="H25">IFERROR(INDEX(Leads!$BL:$BL,MATCH(B25,Leads!$A:$A,0)),"")</f>
        <v/>
      </c>
      <c r="I25" s="2">
        <f t="array" ref="I25">IFERROR(INDEX(Leads!$AF:$AF,MATCH(B25,Leads!$A:$A,0)),"")</f>
        <v/>
      </c>
      <c r="J25" s="2">
        <f t="array" ref="J25">IFERROR(INDEX(Leads!$AE:$AE,MATCH(B25,Leads!$A:$A,0)),"")</f>
        <v/>
      </c>
      <c r="K25" s="2">
        <f t="array" ref="K25">IFERROR(INDEX(Leads!$AG:$AG,MATCH(B25,Leads!$A:$A,0)),"")</f>
        <v/>
      </c>
      <c r="L25" s="2">
        <f t="array" ref="L25">IFERROR(INDEX(Leads!$AZ:$AZ,MATCH(B25,Leads!$A:$A,0)),"")</f>
        <v/>
      </c>
      <c r="M25" s="2">
        <f t="array" ref="M25">IFERROR(INDEX(Leads!$BB:$BB,MATCH(B25,Leads!$A:$A,0)),"")</f>
        <v/>
      </c>
      <c r="N25" s="2">
        <f>IF(I25="","",IF(I25=TODAY(),"FOLLOW UP TODAY",IF(I25&lt;TODAY(),"OVERDUE","HIGH SCORE")))</f>
        <v/>
      </c>
      <c r="O25" s="2">
        <f>IF(N25="FOLLOW UP TODAY","Call / follow up",IF(N25="OVERDUE","Call now","Prioritize outreach"))</f>
        <v/>
      </c>
    </row>
    <row r="26" ht="15.75" customHeight="1" s="19">
      <c r="A26" s="2">
        <f>IF(B26="","",RANK(H26,$H$2:$H$51,0))</f>
        <v/>
      </c>
      <c r="B26" s="2">
        <f t="array" ref="B26">IFERROR(INDEX(Leads!$A:$A,MATCH(LARGE(Leads!$BL$2:$BL$501,ROW()-1),Leads!$BL:$BL,0)),"")</f>
        <v/>
      </c>
      <c r="C26" s="2">
        <f t="array" ref="C26">IFERROR(INDEX(Leads!$B:$B,MATCH(B26,Leads!$A:$A,0)),"")</f>
        <v/>
      </c>
      <c r="D26" s="2">
        <f t="array" ref="D26">IFERROR(INDEX(Leads!$E:$E,MATCH(B26,Leads!$A:$A,0)),"")</f>
        <v/>
      </c>
      <c r="E26" s="2">
        <f t="array" ref="E26">IFERROR(INDEX(Leads!$K:$K,MATCH(B26,Leads!$A:$A,0)),"")</f>
        <v/>
      </c>
      <c r="F26" s="2">
        <f t="array" ref="F26">IFERROR(INDEX(Leads!$AC:$AC,MATCH(B26,Leads!$A:$A,0)),"")</f>
        <v/>
      </c>
      <c r="G26" s="2">
        <f t="array" ref="G26">IFERROR(INDEX(Leads!$BM:$BM,MATCH(B26,Leads!$A:$A,0)),"")</f>
        <v/>
      </c>
      <c r="H26" s="2">
        <f t="array" ref="H26">IFERROR(INDEX(Leads!$BL:$BL,MATCH(B26,Leads!$A:$A,0)),"")</f>
        <v/>
      </c>
      <c r="I26" s="2">
        <f t="array" ref="I26">IFERROR(INDEX(Leads!$AF:$AF,MATCH(B26,Leads!$A:$A,0)),"")</f>
        <v/>
      </c>
      <c r="J26" s="2">
        <f t="array" ref="J26">IFERROR(INDEX(Leads!$AE:$AE,MATCH(B26,Leads!$A:$A,0)),"")</f>
        <v/>
      </c>
      <c r="K26" s="2">
        <f t="array" ref="K26">IFERROR(INDEX(Leads!$AG:$AG,MATCH(B26,Leads!$A:$A,0)),"")</f>
        <v/>
      </c>
      <c r="L26" s="2">
        <f t="array" ref="L26">IFERROR(INDEX(Leads!$AZ:$AZ,MATCH(B26,Leads!$A:$A,0)),"")</f>
        <v/>
      </c>
      <c r="M26" s="2">
        <f t="array" ref="M26">IFERROR(INDEX(Leads!$BB:$BB,MATCH(B26,Leads!$A:$A,0)),"")</f>
        <v/>
      </c>
      <c r="N26" s="2">
        <f>IF(I26="","",IF(I26=TODAY(),"FOLLOW UP TODAY",IF(I26&lt;TODAY(),"OVERDUE","HIGH SCORE")))</f>
        <v/>
      </c>
      <c r="O26" s="2">
        <f>IF(N26="FOLLOW UP TODAY","Call / follow up",IF(N26="OVERDUE","Call now","Prioritize outreach"))</f>
        <v/>
      </c>
    </row>
    <row r="27" ht="15.75" customHeight="1" s="19">
      <c r="A27" s="2">
        <f>IF(B27="","",RANK(H27,$H$2:$H$51,0))</f>
        <v/>
      </c>
      <c r="B27" s="2">
        <f t="array" ref="B27">IFERROR(INDEX(Leads!$A:$A,MATCH(LARGE(Leads!$BL$2:$BL$501,ROW()-1),Leads!$BL:$BL,0)),"")</f>
        <v/>
      </c>
      <c r="C27" s="2">
        <f t="array" ref="C27">IFERROR(INDEX(Leads!$B:$B,MATCH(B27,Leads!$A:$A,0)),"")</f>
        <v/>
      </c>
      <c r="D27" s="2">
        <f t="array" ref="D27">IFERROR(INDEX(Leads!$E:$E,MATCH(B27,Leads!$A:$A,0)),"")</f>
        <v/>
      </c>
      <c r="E27" s="2">
        <f t="array" ref="E27">IFERROR(INDEX(Leads!$K:$K,MATCH(B27,Leads!$A:$A,0)),"")</f>
        <v/>
      </c>
      <c r="F27" s="2">
        <f t="array" ref="F27">IFERROR(INDEX(Leads!$AC:$AC,MATCH(B27,Leads!$A:$A,0)),"")</f>
        <v/>
      </c>
      <c r="G27" s="2">
        <f t="array" ref="G27">IFERROR(INDEX(Leads!$BM:$BM,MATCH(B27,Leads!$A:$A,0)),"")</f>
        <v/>
      </c>
      <c r="H27" s="2">
        <f t="array" ref="H27">IFERROR(INDEX(Leads!$BL:$BL,MATCH(B27,Leads!$A:$A,0)),"")</f>
        <v/>
      </c>
      <c r="I27" s="2">
        <f t="array" ref="I27">IFERROR(INDEX(Leads!$AF:$AF,MATCH(B27,Leads!$A:$A,0)),"")</f>
        <v/>
      </c>
      <c r="J27" s="2">
        <f t="array" ref="J27">IFERROR(INDEX(Leads!$AE:$AE,MATCH(B27,Leads!$A:$A,0)),"")</f>
        <v/>
      </c>
      <c r="K27" s="2">
        <f t="array" ref="K27">IFERROR(INDEX(Leads!$AG:$AG,MATCH(B27,Leads!$A:$A,0)),"")</f>
        <v/>
      </c>
      <c r="L27" s="2">
        <f t="array" ref="L27">IFERROR(INDEX(Leads!$AZ:$AZ,MATCH(B27,Leads!$A:$A,0)),"")</f>
        <v/>
      </c>
      <c r="M27" s="2">
        <f t="array" ref="M27">IFERROR(INDEX(Leads!$BB:$BB,MATCH(B27,Leads!$A:$A,0)),"")</f>
        <v/>
      </c>
      <c r="N27" s="2">
        <f>IF(I27="","",IF(I27=TODAY(),"FOLLOW UP TODAY",IF(I27&lt;TODAY(),"OVERDUE","HIGH SCORE")))</f>
        <v/>
      </c>
      <c r="O27" s="2">
        <f>IF(N27="FOLLOW UP TODAY","Call / follow up",IF(N27="OVERDUE","Call now","Prioritize outreach"))</f>
        <v/>
      </c>
    </row>
    <row r="28" ht="15.75" customHeight="1" s="19">
      <c r="A28" s="2">
        <f>IF(B28="","",RANK(H28,$H$2:$H$51,0))</f>
        <v/>
      </c>
      <c r="B28" s="2">
        <f t="array" ref="B28">IFERROR(INDEX(Leads!$A:$A,MATCH(LARGE(Leads!$BL$2:$BL$501,ROW()-1),Leads!$BL:$BL,0)),"")</f>
        <v/>
      </c>
      <c r="C28" s="2">
        <f t="array" ref="C28">IFERROR(INDEX(Leads!$B:$B,MATCH(B28,Leads!$A:$A,0)),"")</f>
        <v/>
      </c>
      <c r="D28" s="2">
        <f t="array" ref="D28">IFERROR(INDEX(Leads!$E:$E,MATCH(B28,Leads!$A:$A,0)),"")</f>
        <v/>
      </c>
      <c r="E28" s="2">
        <f t="array" ref="E28">IFERROR(INDEX(Leads!$K:$K,MATCH(B28,Leads!$A:$A,0)),"")</f>
        <v/>
      </c>
      <c r="F28" s="2">
        <f t="array" ref="F28">IFERROR(INDEX(Leads!$AC:$AC,MATCH(B28,Leads!$A:$A,0)),"")</f>
        <v/>
      </c>
      <c r="G28" s="2">
        <f t="array" ref="G28">IFERROR(INDEX(Leads!$BM:$BM,MATCH(B28,Leads!$A:$A,0)),"")</f>
        <v/>
      </c>
      <c r="H28" s="2">
        <f t="array" ref="H28">IFERROR(INDEX(Leads!$BL:$BL,MATCH(B28,Leads!$A:$A,0)),"")</f>
        <v/>
      </c>
      <c r="I28" s="2">
        <f t="array" ref="I28">IFERROR(INDEX(Leads!$AF:$AF,MATCH(B28,Leads!$A:$A,0)),"")</f>
        <v/>
      </c>
      <c r="J28" s="2">
        <f t="array" ref="J28">IFERROR(INDEX(Leads!$AE:$AE,MATCH(B28,Leads!$A:$A,0)),"")</f>
        <v/>
      </c>
      <c r="K28" s="2">
        <f t="array" ref="K28">IFERROR(INDEX(Leads!$AG:$AG,MATCH(B28,Leads!$A:$A,0)),"")</f>
        <v/>
      </c>
      <c r="L28" s="2">
        <f t="array" ref="L28">IFERROR(INDEX(Leads!$AZ:$AZ,MATCH(B28,Leads!$A:$A,0)),"")</f>
        <v/>
      </c>
      <c r="M28" s="2">
        <f t="array" ref="M28">IFERROR(INDEX(Leads!$BB:$BB,MATCH(B28,Leads!$A:$A,0)),"")</f>
        <v/>
      </c>
      <c r="N28" s="2">
        <f>IF(I28="","",IF(I28=TODAY(),"FOLLOW UP TODAY",IF(I28&lt;TODAY(),"OVERDUE","HIGH SCORE")))</f>
        <v/>
      </c>
      <c r="O28" s="2">
        <f>IF(N28="FOLLOW UP TODAY","Call / follow up",IF(N28="OVERDUE","Call now","Prioritize outreach"))</f>
        <v/>
      </c>
    </row>
    <row r="29" ht="15.75" customHeight="1" s="19">
      <c r="A29" s="2">
        <f>IF(B29="","",RANK(H29,$H$2:$H$51,0))</f>
        <v/>
      </c>
      <c r="B29" s="2">
        <f t="array" ref="B29">IFERROR(INDEX(Leads!$A:$A,MATCH(LARGE(Leads!$BL$2:$BL$501,ROW()-1),Leads!$BL:$BL,0)),"")</f>
        <v/>
      </c>
      <c r="C29" s="2">
        <f t="array" ref="C29">IFERROR(INDEX(Leads!$B:$B,MATCH(B29,Leads!$A:$A,0)),"")</f>
        <v/>
      </c>
      <c r="D29" s="2">
        <f t="array" ref="D29">IFERROR(INDEX(Leads!$E:$E,MATCH(B29,Leads!$A:$A,0)),"")</f>
        <v/>
      </c>
      <c r="E29" s="2">
        <f t="array" ref="E29">IFERROR(INDEX(Leads!$K:$K,MATCH(B29,Leads!$A:$A,0)),"")</f>
        <v/>
      </c>
      <c r="F29" s="2">
        <f t="array" ref="F29">IFERROR(INDEX(Leads!$AC:$AC,MATCH(B29,Leads!$A:$A,0)),"")</f>
        <v/>
      </c>
      <c r="G29" s="2">
        <f t="array" ref="G29">IFERROR(INDEX(Leads!$BM:$BM,MATCH(B29,Leads!$A:$A,0)),"")</f>
        <v/>
      </c>
      <c r="H29" s="2">
        <f t="array" ref="H29">IFERROR(INDEX(Leads!$BL:$BL,MATCH(B29,Leads!$A:$A,0)),"")</f>
        <v/>
      </c>
      <c r="I29" s="2">
        <f t="array" ref="I29">IFERROR(INDEX(Leads!$AF:$AF,MATCH(B29,Leads!$A:$A,0)),"")</f>
        <v/>
      </c>
      <c r="J29" s="2">
        <f t="array" ref="J29">IFERROR(INDEX(Leads!$AE:$AE,MATCH(B29,Leads!$A:$A,0)),"")</f>
        <v/>
      </c>
      <c r="K29" s="2">
        <f t="array" ref="K29">IFERROR(INDEX(Leads!$AG:$AG,MATCH(B29,Leads!$A:$A,0)),"")</f>
        <v/>
      </c>
      <c r="L29" s="2">
        <f t="array" ref="L29">IFERROR(INDEX(Leads!$AZ:$AZ,MATCH(B29,Leads!$A:$A,0)),"")</f>
        <v/>
      </c>
      <c r="M29" s="2">
        <f t="array" ref="M29">IFERROR(INDEX(Leads!$BB:$BB,MATCH(B29,Leads!$A:$A,0)),"")</f>
        <v/>
      </c>
      <c r="N29" s="2">
        <f>IF(I29="","",IF(I29=TODAY(),"FOLLOW UP TODAY",IF(I29&lt;TODAY(),"OVERDUE","HIGH SCORE")))</f>
        <v/>
      </c>
      <c r="O29" s="2">
        <f>IF(N29="FOLLOW UP TODAY","Call / follow up",IF(N29="OVERDUE","Call now","Prioritize outreach"))</f>
        <v/>
      </c>
    </row>
    <row r="30" ht="15.75" customHeight="1" s="19">
      <c r="A30" s="2">
        <f>IF(B30="","",RANK(H30,$H$2:$H$51,0))</f>
        <v/>
      </c>
      <c r="B30" s="2">
        <f t="array" ref="B30">IFERROR(INDEX(Leads!$A:$A,MATCH(LARGE(Leads!$BL$2:$BL$501,ROW()-1),Leads!$BL:$BL,0)),"")</f>
        <v/>
      </c>
      <c r="C30" s="2">
        <f t="array" ref="C30">IFERROR(INDEX(Leads!$B:$B,MATCH(B30,Leads!$A:$A,0)),"")</f>
        <v/>
      </c>
      <c r="D30" s="2">
        <f t="array" ref="D30">IFERROR(INDEX(Leads!$E:$E,MATCH(B30,Leads!$A:$A,0)),"")</f>
        <v/>
      </c>
      <c r="E30" s="2">
        <f t="array" ref="E30">IFERROR(INDEX(Leads!$K:$K,MATCH(B30,Leads!$A:$A,0)),"")</f>
        <v/>
      </c>
      <c r="F30" s="2">
        <f t="array" ref="F30">IFERROR(INDEX(Leads!$AC:$AC,MATCH(B30,Leads!$A:$A,0)),"")</f>
        <v/>
      </c>
      <c r="G30" s="2">
        <f t="array" ref="G30">IFERROR(INDEX(Leads!$BM:$BM,MATCH(B30,Leads!$A:$A,0)),"")</f>
        <v/>
      </c>
      <c r="H30" s="2">
        <f t="array" ref="H30">IFERROR(INDEX(Leads!$BL:$BL,MATCH(B30,Leads!$A:$A,0)),"")</f>
        <v/>
      </c>
      <c r="I30" s="2">
        <f t="array" ref="I30">IFERROR(INDEX(Leads!$AF:$AF,MATCH(B30,Leads!$A:$A,0)),"")</f>
        <v/>
      </c>
      <c r="J30" s="2">
        <f t="array" ref="J30">IFERROR(INDEX(Leads!$AE:$AE,MATCH(B30,Leads!$A:$A,0)),"")</f>
        <v/>
      </c>
      <c r="K30" s="2">
        <f t="array" ref="K30">IFERROR(INDEX(Leads!$AG:$AG,MATCH(B30,Leads!$A:$A,0)),"")</f>
        <v/>
      </c>
      <c r="L30" s="2">
        <f t="array" ref="L30">IFERROR(INDEX(Leads!$AZ:$AZ,MATCH(B30,Leads!$A:$A,0)),"")</f>
        <v/>
      </c>
      <c r="M30" s="2">
        <f t="array" ref="M30">IFERROR(INDEX(Leads!$BB:$BB,MATCH(B30,Leads!$A:$A,0)),"")</f>
        <v/>
      </c>
      <c r="N30" s="2">
        <f>IF(I30="","",IF(I30=TODAY(),"FOLLOW UP TODAY",IF(I30&lt;TODAY(),"OVERDUE","HIGH SCORE")))</f>
        <v/>
      </c>
      <c r="O30" s="2">
        <f>IF(N30="FOLLOW UP TODAY","Call / follow up",IF(N30="OVERDUE","Call now","Prioritize outreach"))</f>
        <v/>
      </c>
    </row>
    <row r="31" ht="15.75" customHeight="1" s="19">
      <c r="A31" s="2">
        <f>IF(B31="","",RANK(H31,$H$2:$H$51,0))</f>
        <v/>
      </c>
      <c r="B31" s="2">
        <f t="array" ref="B31">IFERROR(INDEX(Leads!$A:$A,MATCH(LARGE(Leads!$BL$2:$BL$501,ROW()-1),Leads!$BL:$BL,0)),"")</f>
        <v/>
      </c>
      <c r="C31" s="2">
        <f t="array" ref="C31">IFERROR(INDEX(Leads!$B:$B,MATCH(B31,Leads!$A:$A,0)),"")</f>
        <v/>
      </c>
      <c r="D31" s="2">
        <f t="array" ref="D31">IFERROR(INDEX(Leads!$E:$E,MATCH(B31,Leads!$A:$A,0)),"")</f>
        <v/>
      </c>
      <c r="E31" s="2">
        <f t="array" ref="E31">IFERROR(INDEX(Leads!$K:$K,MATCH(B31,Leads!$A:$A,0)),"")</f>
        <v/>
      </c>
      <c r="F31" s="2">
        <f t="array" ref="F31">IFERROR(INDEX(Leads!$AC:$AC,MATCH(B31,Leads!$A:$A,0)),"")</f>
        <v/>
      </c>
      <c r="G31" s="2">
        <f t="array" ref="G31">IFERROR(INDEX(Leads!$BM:$BM,MATCH(B31,Leads!$A:$A,0)),"")</f>
        <v/>
      </c>
      <c r="H31" s="2">
        <f t="array" ref="H31">IFERROR(INDEX(Leads!$BL:$BL,MATCH(B31,Leads!$A:$A,0)),"")</f>
        <v/>
      </c>
      <c r="I31" s="2">
        <f t="array" ref="I31">IFERROR(INDEX(Leads!$AF:$AF,MATCH(B31,Leads!$A:$A,0)),"")</f>
        <v/>
      </c>
      <c r="J31" s="2">
        <f t="array" ref="J31">IFERROR(INDEX(Leads!$AE:$AE,MATCH(B31,Leads!$A:$A,0)),"")</f>
        <v/>
      </c>
      <c r="K31" s="2">
        <f t="array" ref="K31">IFERROR(INDEX(Leads!$AG:$AG,MATCH(B31,Leads!$A:$A,0)),"")</f>
        <v/>
      </c>
      <c r="L31" s="2">
        <f t="array" ref="L31">IFERROR(INDEX(Leads!$AZ:$AZ,MATCH(B31,Leads!$A:$A,0)),"")</f>
        <v/>
      </c>
      <c r="M31" s="2">
        <f t="array" ref="M31">IFERROR(INDEX(Leads!$BB:$BB,MATCH(B31,Leads!$A:$A,0)),"")</f>
        <v/>
      </c>
      <c r="N31" s="2">
        <f>IF(I31="","",IF(I31=TODAY(),"FOLLOW UP TODAY",IF(I31&lt;TODAY(),"OVERDUE","HIGH SCORE")))</f>
        <v/>
      </c>
      <c r="O31" s="2">
        <f>IF(N31="FOLLOW UP TODAY","Call / follow up",IF(N31="OVERDUE","Call now","Prioritize outreach"))</f>
        <v/>
      </c>
    </row>
    <row r="32" ht="15.75" customHeight="1" s="19">
      <c r="A32" s="2">
        <f>IF(B32="","",RANK(H32,$H$2:$H$51,0))</f>
        <v/>
      </c>
      <c r="B32" s="2">
        <f t="array" ref="B32">IFERROR(INDEX(Leads!$A:$A,MATCH(LARGE(Leads!$BL$2:$BL$501,ROW()-1),Leads!$BL:$BL,0)),"")</f>
        <v/>
      </c>
      <c r="C32" s="2">
        <f t="array" ref="C32">IFERROR(INDEX(Leads!$B:$B,MATCH(B32,Leads!$A:$A,0)),"")</f>
        <v/>
      </c>
      <c r="D32" s="2">
        <f t="array" ref="D32">IFERROR(INDEX(Leads!$E:$E,MATCH(B32,Leads!$A:$A,0)),"")</f>
        <v/>
      </c>
      <c r="E32" s="2">
        <f t="array" ref="E32">IFERROR(INDEX(Leads!$K:$K,MATCH(B32,Leads!$A:$A,0)),"")</f>
        <v/>
      </c>
      <c r="F32" s="2">
        <f t="array" ref="F32">IFERROR(INDEX(Leads!$AC:$AC,MATCH(B32,Leads!$A:$A,0)),"")</f>
        <v/>
      </c>
      <c r="G32" s="2">
        <f t="array" ref="G32">IFERROR(INDEX(Leads!$BM:$BM,MATCH(B32,Leads!$A:$A,0)),"")</f>
        <v/>
      </c>
      <c r="H32" s="2">
        <f t="array" ref="H32">IFERROR(INDEX(Leads!$BL:$BL,MATCH(B32,Leads!$A:$A,0)),"")</f>
        <v/>
      </c>
      <c r="I32" s="2">
        <f t="array" ref="I32">IFERROR(INDEX(Leads!$AF:$AF,MATCH(B32,Leads!$A:$A,0)),"")</f>
        <v/>
      </c>
      <c r="J32" s="2">
        <f t="array" ref="J32">IFERROR(INDEX(Leads!$AE:$AE,MATCH(B32,Leads!$A:$A,0)),"")</f>
        <v/>
      </c>
      <c r="K32" s="2">
        <f t="array" ref="K32">IFERROR(INDEX(Leads!$AG:$AG,MATCH(B32,Leads!$A:$A,0)),"")</f>
        <v/>
      </c>
      <c r="L32" s="2">
        <f t="array" ref="L32">IFERROR(INDEX(Leads!$AZ:$AZ,MATCH(B32,Leads!$A:$A,0)),"")</f>
        <v/>
      </c>
      <c r="M32" s="2">
        <f t="array" ref="M32">IFERROR(INDEX(Leads!$BB:$BB,MATCH(B32,Leads!$A:$A,0)),"")</f>
        <v/>
      </c>
      <c r="N32" s="2">
        <f>IF(I32="","",IF(I32=TODAY(),"FOLLOW UP TODAY",IF(I32&lt;TODAY(),"OVERDUE","HIGH SCORE")))</f>
        <v/>
      </c>
      <c r="O32" s="2">
        <f>IF(N32="FOLLOW UP TODAY","Call / follow up",IF(N32="OVERDUE","Call now","Prioritize outreach"))</f>
        <v/>
      </c>
    </row>
    <row r="33" ht="15.75" customHeight="1" s="19">
      <c r="A33" s="2">
        <f>IF(B33="","",RANK(H33,$H$2:$H$51,0))</f>
        <v/>
      </c>
      <c r="B33" s="2">
        <f t="array" ref="B33">IFERROR(INDEX(Leads!$A:$A,MATCH(LARGE(Leads!$BL$2:$BL$501,ROW()-1),Leads!$BL:$BL,0)),"")</f>
        <v/>
      </c>
      <c r="C33" s="2">
        <f t="array" ref="C33">IFERROR(INDEX(Leads!$B:$B,MATCH(B33,Leads!$A:$A,0)),"")</f>
        <v/>
      </c>
      <c r="D33" s="2">
        <f t="array" ref="D33">IFERROR(INDEX(Leads!$E:$E,MATCH(B33,Leads!$A:$A,0)),"")</f>
        <v/>
      </c>
      <c r="E33" s="2">
        <f t="array" ref="E33">IFERROR(INDEX(Leads!$K:$K,MATCH(B33,Leads!$A:$A,0)),"")</f>
        <v/>
      </c>
      <c r="F33" s="2">
        <f t="array" ref="F33">IFERROR(INDEX(Leads!$AC:$AC,MATCH(B33,Leads!$A:$A,0)),"")</f>
        <v/>
      </c>
      <c r="G33" s="2">
        <f t="array" ref="G33">IFERROR(INDEX(Leads!$BM:$BM,MATCH(B33,Leads!$A:$A,0)),"")</f>
        <v/>
      </c>
      <c r="H33" s="2">
        <f t="array" ref="H33">IFERROR(INDEX(Leads!$BL:$BL,MATCH(B33,Leads!$A:$A,0)),"")</f>
        <v/>
      </c>
      <c r="I33" s="2">
        <f t="array" ref="I33">IFERROR(INDEX(Leads!$AF:$AF,MATCH(B33,Leads!$A:$A,0)),"")</f>
        <v/>
      </c>
      <c r="J33" s="2">
        <f t="array" ref="J33">IFERROR(INDEX(Leads!$AE:$AE,MATCH(B33,Leads!$A:$A,0)),"")</f>
        <v/>
      </c>
      <c r="K33" s="2">
        <f t="array" ref="K33">IFERROR(INDEX(Leads!$AG:$AG,MATCH(B33,Leads!$A:$A,0)),"")</f>
        <v/>
      </c>
      <c r="L33" s="2">
        <f t="array" ref="L33">IFERROR(INDEX(Leads!$AZ:$AZ,MATCH(B33,Leads!$A:$A,0)),"")</f>
        <v/>
      </c>
      <c r="M33" s="2">
        <f t="array" ref="M33">IFERROR(INDEX(Leads!$BB:$BB,MATCH(B33,Leads!$A:$A,0)),"")</f>
        <v/>
      </c>
      <c r="N33" s="2">
        <f>IF(I33="","",IF(I33=TODAY(),"FOLLOW UP TODAY",IF(I33&lt;TODAY(),"OVERDUE","HIGH SCORE")))</f>
        <v/>
      </c>
      <c r="O33" s="2">
        <f>IF(N33="FOLLOW UP TODAY","Call / follow up",IF(N33="OVERDUE","Call now","Prioritize outreach"))</f>
        <v/>
      </c>
    </row>
    <row r="34" ht="15.75" customHeight="1" s="19">
      <c r="A34" s="2">
        <f>IF(B34="","",RANK(H34,$H$2:$H$51,0))</f>
        <v/>
      </c>
      <c r="B34" s="2">
        <f t="array" ref="B34">IFERROR(INDEX(Leads!$A:$A,MATCH(LARGE(Leads!$BL$2:$BL$501,ROW()-1),Leads!$BL:$BL,0)),"")</f>
        <v/>
      </c>
      <c r="C34" s="2">
        <f t="array" ref="C34">IFERROR(INDEX(Leads!$B:$B,MATCH(B34,Leads!$A:$A,0)),"")</f>
        <v/>
      </c>
      <c r="D34" s="2">
        <f t="array" ref="D34">IFERROR(INDEX(Leads!$E:$E,MATCH(B34,Leads!$A:$A,0)),"")</f>
        <v/>
      </c>
      <c r="E34" s="2">
        <f t="array" ref="E34">IFERROR(INDEX(Leads!$K:$K,MATCH(B34,Leads!$A:$A,0)),"")</f>
        <v/>
      </c>
      <c r="F34" s="2">
        <f t="array" ref="F34">IFERROR(INDEX(Leads!$AC:$AC,MATCH(B34,Leads!$A:$A,0)),"")</f>
        <v/>
      </c>
      <c r="G34" s="2">
        <f t="array" ref="G34">IFERROR(INDEX(Leads!$BM:$BM,MATCH(B34,Leads!$A:$A,0)),"")</f>
        <v/>
      </c>
      <c r="H34" s="2">
        <f t="array" ref="H34">IFERROR(INDEX(Leads!$BL:$BL,MATCH(B34,Leads!$A:$A,0)),"")</f>
        <v/>
      </c>
      <c r="I34" s="2">
        <f t="array" ref="I34">IFERROR(INDEX(Leads!$AF:$AF,MATCH(B34,Leads!$A:$A,0)),"")</f>
        <v/>
      </c>
      <c r="J34" s="2">
        <f t="array" ref="J34">IFERROR(INDEX(Leads!$AE:$AE,MATCH(B34,Leads!$A:$A,0)),"")</f>
        <v/>
      </c>
      <c r="K34" s="2">
        <f t="array" ref="K34">IFERROR(INDEX(Leads!$AG:$AG,MATCH(B34,Leads!$A:$A,0)),"")</f>
        <v/>
      </c>
      <c r="L34" s="2">
        <f t="array" ref="L34">IFERROR(INDEX(Leads!$AZ:$AZ,MATCH(B34,Leads!$A:$A,0)),"")</f>
        <v/>
      </c>
      <c r="M34" s="2">
        <f t="array" ref="M34">IFERROR(INDEX(Leads!$BB:$BB,MATCH(B34,Leads!$A:$A,0)),"")</f>
        <v/>
      </c>
      <c r="N34" s="2">
        <f>IF(I34="","",IF(I34=TODAY(),"FOLLOW UP TODAY",IF(I34&lt;TODAY(),"OVERDUE","HIGH SCORE")))</f>
        <v/>
      </c>
      <c r="O34" s="2">
        <f>IF(N34="FOLLOW UP TODAY","Call / follow up",IF(N34="OVERDUE","Call now","Prioritize outreach"))</f>
        <v/>
      </c>
    </row>
    <row r="35" ht="15.75" customHeight="1" s="19">
      <c r="A35" s="2">
        <f>IF(B35="","",RANK(H35,$H$2:$H$51,0))</f>
        <v/>
      </c>
      <c r="B35" s="2">
        <f t="array" ref="B35">IFERROR(INDEX(Leads!$A:$A,MATCH(LARGE(Leads!$BL$2:$BL$501,ROW()-1),Leads!$BL:$BL,0)),"")</f>
        <v/>
      </c>
      <c r="C35" s="2">
        <f t="array" ref="C35">IFERROR(INDEX(Leads!$B:$B,MATCH(B35,Leads!$A:$A,0)),"")</f>
        <v/>
      </c>
      <c r="D35" s="2">
        <f t="array" ref="D35">IFERROR(INDEX(Leads!$E:$E,MATCH(B35,Leads!$A:$A,0)),"")</f>
        <v/>
      </c>
      <c r="E35" s="2">
        <f t="array" ref="E35">IFERROR(INDEX(Leads!$K:$K,MATCH(B35,Leads!$A:$A,0)),"")</f>
        <v/>
      </c>
      <c r="F35" s="2">
        <f t="array" ref="F35">IFERROR(INDEX(Leads!$AC:$AC,MATCH(B35,Leads!$A:$A,0)),"")</f>
        <v/>
      </c>
      <c r="G35" s="2">
        <f t="array" ref="G35">IFERROR(INDEX(Leads!$BM:$BM,MATCH(B35,Leads!$A:$A,0)),"")</f>
        <v/>
      </c>
      <c r="H35" s="2">
        <f t="array" ref="H35">IFERROR(INDEX(Leads!$BL:$BL,MATCH(B35,Leads!$A:$A,0)),"")</f>
        <v/>
      </c>
      <c r="I35" s="2">
        <f t="array" ref="I35">IFERROR(INDEX(Leads!$AF:$AF,MATCH(B35,Leads!$A:$A,0)),"")</f>
        <v/>
      </c>
      <c r="J35" s="2">
        <f t="array" ref="J35">IFERROR(INDEX(Leads!$AE:$AE,MATCH(B35,Leads!$A:$A,0)),"")</f>
        <v/>
      </c>
      <c r="K35" s="2">
        <f t="array" ref="K35">IFERROR(INDEX(Leads!$AG:$AG,MATCH(B35,Leads!$A:$A,0)),"")</f>
        <v/>
      </c>
      <c r="L35" s="2">
        <f t="array" ref="L35">IFERROR(INDEX(Leads!$AZ:$AZ,MATCH(B35,Leads!$A:$A,0)),"")</f>
        <v/>
      </c>
      <c r="M35" s="2">
        <f t="array" ref="M35">IFERROR(INDEX(Leads!$BB:$BB,MATCH(B35,Leads!$A:$A,0)),"")</f>
        <v/>
      </c>
      <c r="N35" s="2">
        <f>IF(I35="","",IF(I35=TODAY(),"FOLLOW UP TODAY",IF(I35&lt;TODAY(),"OVERDUE","HIGH SCORE")))</f>
        <v/>
      </c>
      <c r="O35" s="2">
        <f>IF(N35="FOLLOW UP TODAY","Call / follow up",IF(N35="OVERDUE","Call now","Prioritize outreach"))</f>
        <v/>
      </c>
    </row>
    <row r="36" ht="15.75" customHeight="1" s="19">
      <c r="A36" s="2">
        <f>IF(B36="","",RANK(H36,$H$2:$H$51,0))</f>
        <v/>
      </c>
      <c r="B36" s="2">
        <f t="array" ref="B36">IFERROR(INDEX(Leads!$A:$A,MATCH(LARGE(Leads!$BL$2:$BL$501,ROW()-1),Leads!$BL:$BL,0)),"")</f>
        <v/>
      </c>
      <c r="C36" s="2">
        <f t="array" ref="C36">IFERROR(INDEX(Leads!$B:$B,MATCH(B36,Leads!$A:$A,0)),"")</f>
        <v/>
      </c>
      <c r="D36" s="2">
        <f t="array" ref="D36">IFERROR(INDEX(Leads!$E:$E,MATCH(B36,Leads!$A:$A,0)),"")</f>
        <v/>
      </c>
      <c r="E36" s="2">
        <f t="array" ref="E36">IFERROR(INDEX(Leads!$K:$K,MATCH(B36,Leads!$A:$A,0)),"")</f>
        <v/>
      </c>
      <c r="F36" s="2">
        <f t="array" ref="F36">IFERROR(INDEX(Leads!$AC:$AC,MATCH(B36,Leads!$A:$A,0)),"")</f>
        <v/>
      </c>
      <c r="G36" s="2">
        <f t="array" ref="G36">IFERROR(INDEX(Leads!$BM:$BM,MATCH(B36,Leads!$A:$A,0)),"")</f>
        <v/>
      </c>
      <c r="H36" s="2">
        <f t="array" ref="H36">IFERROR(INDEX(Leads!$BL:$BL,MATCH(B36,Leads!$A:$A,0)),"")</f>
        <v/>
      </c>
      <c r="I36" s="2">
        <f t="array" ref="I36">IFERROR(INDEX(Leads!$AF:$AF,MATCH(B36,Leads!$A:$A,0)),"")</f>
        <v/>
      </c>
      <c r="J36" s="2">
        <f t="array" ref="J36">IFERROR(INDEX(Leads!$AE:$AE,MATCH(B36,Leads!$A:$A,0)),"")</f>
        <v/>
      </c>
      <c r="K36" s="2">
        <f t="array" ref="K36">IFERROR(INDEX(Leads!$AG:$AG,MATCH(B36,Leads!$A:$A,0)),"")</f>
        <v/>
      </c>
      <c r="L36" s="2">
        <f t="array" ref="L36">IFERROR(INDEX(Leads!$AZ:$AZ,MATCH(B36,Leads!$A:$A,0)),"")</f>
        <v/>
      </c>
      <c r="M36" s="2">
        <f t="array" ref="M36">IFERROR(INDEX(Leads!$BB:$BB,MATCH(B36,Leads!$A:$A,0)),"")</f>
        <v/>
      </c>
      <c r="N36" s="2">
        <f>IF(I36="","",IF(I36=TODAY(),"FOLLOW UP TODAY",IF(I36&lt;TODAY(),"OVERDUE","HIGH SCORE")))</f>
        <v/>
      </c>
      <c r="O36" s="2">
        <f>IF(N36="FOLLOW UP TODAY","Call / follow up",IF(N36="OVERDUE","Call now","Prioritize outreach"))</f>
        <v/>
      </c>
    </row>
    <row r="37" ht="15.75" customHeight="1" s="19">
      <c r="A37" s="2">
        <f>IF(B37="","",RANK(H37,$H$2:$H$51,0))</f>
        <v/>
      </c>
      <c r="B37" s="2">
        <f t="array" ref="B37">IFERROR(INDEX(Leads!$A:$A,MATCH(LARGE(Leads!$BL$2:$BL$501,ROW()-1),Leads!$BL:$BL,0)),"")</f>
        <v/>
      </c>
      <c r="C37" s="2">
        <f t="array" ref="C37">IFERROR(INDEX(Leads!$B:$B,MATCH(B37,Leads!$A:$A,0)),"")</f>
        <v/>
      </c>
      <c r="D37" s="2">
        <f t="array" ref="D37">IFERROR(INDEX(Leads!$E:$E,MATCH(B37,Leads!$A:$A,0)),"")</f>
        <v/>
      </c>
      <c r="E37" s="2">
        <f t="array" ref="E37">IFERROR(INDEX(Leads!$K:$K,MATCH(B37,Leads!$A:$A,0)),"")</f>
        <v/>
      </c>
      <c r="F37" s="2">
        <f t="array" ref="F37">IFERROR(INDEX(Leads!$AC:$AC,MATCH(B37,Leads!$A:$A,0)),"")</f>
        <v/>
      </c>
      <c r="G37" s="2">
        <f t="array" ref="G37">IFERROR(INDEX(Leads!$BM:$BM,MATCH(B37,Leads!$A:$A,0)),"")</f>
        <v/>
      </c>
      <c r="H37" s="2">
        <f t="array" ref="H37">IFERROR(INDEX(Leads!$BL:$BL,MATCH(B37,Leads!$A:$A,0)),"")</f>
        <v/>
      </c>
      <c r="I37" s="2">
        <f t="array" ref="I37">IFERROR(INDEX(Leads!$AF:$AF,MATCH(B37,Leads!$A:$A,0)),"")</f>
        <v/>
      </c>
      <c r="J37" s="2">
        <f t="array" ref="J37">IFERROR(INDEX(Leads!$AE:$AE,MATCH(B37,Leads!$A:$A,0)),"")</f>
        <v/>
      </c>
      <c r="K37" s="2">
        <f t="array" ref="K37">IFERROR(INDEX(Leads!$AG:$AG,MATCH(B37,Leads!$A:$A,0)),"")</f>
        <v/>
      </c>
      <c r="L37" s="2">
        <f t="array" ref="L37">IFERROR(INDEX(Leads!$AZ:$AZ,MATCH(B37,Leads!$A:$A,0)),"")</f>
        <v/>
      </c>
      <c r="M37" s="2">
        <f t="array" ref="M37">IFERROR(INDEX(Leads!$BB:$BB,MATCH(B37,Leads!$A:$A,0)),"")</f>
        <v/>
      </c>
      <c r="N37" s="2">
        <f>IF(I37="","",IF(I37=TODAY(),"FOLLOW UP TODAY",IF(I37&lt;TODAY(),"OVERDUE","HIGH SCORE")))</f>
        <v/>
      </c>
      <c r="O37" s="2">
        <f>IF(N37="FOLLOW UP TODAY","Call / follow up",IF(N37="OVERDUE","Call now","Prioritize outreach"))</f>
        <v/>
      </c>
    </row>
    <row r="38" ht="15.75" customHeight="1" s="19">
      <c r="A38" s="2">
        <f>IF(B38="","",RANK(H38,$H$2:$H$51,0))</f>
        <v/>
      </c>
      <c r="B38" s="2">
        <f t="array" ref="B38">IFERROR(INDEX(Leads!$A:$A,MATCH(LARGE(Leads!$BL$2:$BL$501,ROW()-1),Leads!$BL:$BL,0)),"")</f>
        <v/>
      </c>
      <c r="C38" s="2">
        <f t="array" ref="C38">IFERROR(INDEX(Leads!$B:$B,MATCH(B38,Leads!$A:$A,0)),"")</f>
        <v/>
      </c>
      <c r="D38" s="2">
        <f t="array" ref="D38">IFERROR(INDEX(Leads!$E:$E,MATCH(B38,Leads!$A:$A,0)),"")</f>
        <v/>
      </c>
      <c r="E38" s="2">
        <f t="array" ref="E38">IFERROR(INDEX(Leads!$K:$K,MATCH(B38,Leads!$A:$A,0)),"")</f>
        <v/>
      </c>
      <c r="F38" s="2">
        <f t="array" ref="F38">IFERROR(INDEX(Leads!$AC:$AC,MATCH(B38,Leads!$A:$A,0)),"")</f>
        <v/>
      </c>
      <c r="G38" s="2">
        <f t="array" ref="G38">IFERROR(INDEX(Leads!$BM:$BM,MATCH(B38,Leads!$A:$A,0)),"")</f>
        <v/>
      </c>
      <c r="H38" s="2">
        <f t="array" ref="H38">IFERROR(INDEX(Leads!$BL:$BL,MATCH(B38,Leads!$A:$A,0)),"")</f>
        <v/>
      </c>
      <c r="I38" s="2">
        <f t="array" ref="I38">IFERROR(INDEX(Leads!$AF:$AF,MATCH(B38,Leads!$A:$A,0)),"")</f>
        <v/>
      </c>
      <c r="J38" s="2">
        <f t="array" ref="J38">IFERROR(INDEX(Leads!$AE:$AE,MATCH(B38,Leads!$A:$A,0)),"")</f>
        <v/>
      </c>
      <c r="K38" s="2">
        <f t="array" ref="K38">IFERROR(INDEX(Leads!$AG:$AG,MATCH(B38,Leads!$A:$A,0)),"")</f>
        <v/>
      </c>
      <c r="L38" s="2">
        <f t="array" ref="L38">IFERROR(INDEX(Leads!$AZ:$AZ,MATCH(B38,Leads!$A:$A,0)),"")</f>
        <v/>
      </c>
      <c r="M38" s="2">
        <f t="array" ref="M38">IFERROR(INDEX(Leads!$BB:$BB,MATCH(B38,Leads!$A:$A,0)),"")</f>
        <v/>
      </c>
      <c r="N38" s="2">
        <f>IF(I38="","",IF(I38=TODAY(),"FOLLOW UP TODAY",IF(I38&lt;TODAY(),"OVERDUE","HIGH SCORE")))</f>
        <v/>
      </c>
      <c r="O38" s="2">
        <f>IF(N38="FOLLOW UP TODAY","Call / follow up",IF(N38="OVERDUE","Call now","Prioritize outreach"))</f>
        <v/>
      </c>
    </row>
    <row r="39" ht="15.75" customHeight="1" s="19">
      <c r="A39" s="2">
        <f>IF(B39="","",RANK(H39,$H$2:$H$51,0))</f>
        <v/>
      </c>
      <c r="B39" s="2">
        <f t="array" ref="B39">IFERROR(INDEX(Leads!$A:$A,MATCH(LARGE(Leads!$BL$2:$BL$501,ROW()-1),Leads!$BL:$BL,0)),"")</f>
        <v/>
      </c>
      <c r="C39" s="2">
        <f t="array" ref="C39">IFERROR(INDEX(Leads!$B:$B,MATCH(B39,Leads!$A:$A,0)),"")</f>
        <v/>
      </c>
      <c r="D39" s="2">
        <f t="array" ref="D39">IFERROR(INDEX(Leads!$E:$E,MATCH(B39,Leads!$A:$A,0)),"")</f>
        <v/>
      </c>
      <c r="E39" s="2">
        <f t="array" ref="E39">IFERROR(INDEX(Leads!$K:$K,MATCH(B39,Leads!$A:$A,0)),"")</f>
        <v/>
      </c>
      <c r="F39" s="2">
        <f t="array" ref="F39">IFERROR(INDEX(Leads!$AC:$AC,MATCH(B39,Leads!$A:$A,0)),"")</f>
        <v/>
      </c>
      <c r="G39" s="2">
        <f t="array" ref="G39">IFERROR(INDEX(Leads!$BM:$BM,MATCH(B39,Leads!$A:$A,0)),"")</f>
        <v/>
      </c>
      <c r="H39" s="2">
        <f t="array" ref="H39">IFERROR(INDEX(Leads!$BL:$BL,MATCH(B39,Leads!$A:$A,0)),"")</f>
        <v/>
      </c>
      <c r="I39" s="2">
        <f t="array" ref="I39">IFERROR(INDEX(Leads!$AF:$AF,MATCH(B39,Leads!$A:$A,0)),"")</f>
        <v/>
      </c>
      <c r="J39" s="2">
        <f t="array" ref="J39">IFERROR(INDEX(Leads!$AE:$AE,MATCH(B39,Leads!$A:$A,0)),"")</f>
        <v/>
      </c>
      <c r="K39" s="2">
        <f t="array" ref="K39">IFERROR(INDEX(Leads!$AG:$AG,MATCH(B39,Leads!$A:$A,0)),"")</f>
        <v/>
      </c>
      <c r="L39" s="2">
        <f t="array" ref="L39">IFERROR(INDEX(Leads!$AZ:$AZ,MATCH(B39,Leads!$A:$A,0)),"")</f>
        <v/>
      </c>
      <c r="M39" s="2">
        <f t="array" ref="M39">IFERROR(INDEX(Leads!$BB:$BB,MATCH(B39,Leads!$A:$A,0)),"")</f>
        <v/>
      </c>
      <c r="N39" s="2">
        <f>IF(I39="","",IF(I39=TODAY(),"FOLLOW UP TODAY",IF(I39&lt;TODAY(),"OVERDUE","HIGH SCORE")))</f>
        <v/>
      </c>
      <c r="O39" s="2">
        <f>IF(N39="FOLLOW UP TODAY","Call / follow up",IF(N39="OVERDUE","Call now","Prioritize outreach"))</f>
        <v/>
      </c>
    </row>
    <row r="40" ht="15.75" customHeight="1" s="19">
      <c r="A40" s="2">
        <f>IF(B40="","",RANK(H40,$H$2:$H$51,0))</f>
        <v/>
      </c>
      <c r="B40" s="2">
        <f t="array" ref="B40">IFERROR(INDEX(Leads!$A:$A,MATCH(LARGE(Leads!$BL$2:$BL$501,ROW()-1),Leads!$BL:$BL,0)),"")</f>
        <v/>
      </c>
      <c r="C40" s="2">
        <f t="array" ref="C40">IFERROR(INDEX(Leads!$B:$B,MATCH(B40,Leads!$A:$A,0)),"")</f>
        <v/>
      </c>
      <c r="D40" s="2">
        <f t="array" ref="D40">IFERROR(INDEX(Leads!$E:$E,MATCH(B40,Leads!$A:$A,0)),"")</f>
        <v/>
      </c>
      <c r="E40" s="2">
        <f t="array" ref="E40">IFERROR(INDEX(Leads!$K:$K,MATCH(B40,Leads!$A:$A,0)),"")</f>
        <v/>
      </c>
      <c r="F40" s="2">
        <f t="array" ref="F40">IFERROR(INDEX(Leads!$AC:$AC,MATCH(B40,Leads!$A:$A,0)),"")</f>
        <v/>
      </c>
      <c r="G40" s="2">
        <f t="array" ref="G40">IFERROR(INDEX(Leads!$BM:$BM,MATCH(B40,Leads!$A:$A,0)),"")</f>
        <v/>
      </c>
      <c r="H40" s="2">
        <f t="array" ref="H40">IFERROR(INDEX(Leads!$BL:$BL,MATCH(B40,Leads!$A:$A,0)),"")</f>
        <v/>
      </c>
      <c r="I40" s="2">
        <f t="array" ref="I40">IFERROR(INDEX(Leads!$AF:$AF,MATCH(B40,Leads!$A:$A,0)),"")</f>
        <v/>
      </c>
      <c r="J40" s="2">
        <f t="array" ref="J40">IFERROR(INDEX(Leads!$AE:$AE,MATCH(B40,Leads!$A:$A,0)),"")</f>
        <v/>
      </c>
      <c r="K40" s="2">
        <f t="array" ref="K40">IFERROR(INDEX(Leads!$AG:$AG,MATCH(B40,Leads!$A:$A,0)),"")</f>
        <v/>
      </c>
      <c r="L40" s="2">
        <f t="array" ref="L40">IFERROR(INDEX(Leads!$AZ:$AZ,MATCH(B40,Leads!$A:$A,0)),"")</f>
        <v/>
      </c>
      <c r="M40" s="2">
        <f t="array" ref="M40">IFERROR(INDEX(Leads!$BB:$BB,MATCH(B40,Leads!$A:$A,0)),"")</f>
        <v/>
      </c>
      <c r="N40" s="2">
        <f>IF(I40="","",IF(I40=TODAY(),"FOLLOW UP TODAY",IF(I40&lt;TODAY(),"OVERDUE","HIGH SCORE")))</f>
        <v/>
      </c>
      <c r="O40" s="2">
        <f>IF(N40="FOLLOW UP TODAY","Call / follow up",IF(N40="OVERDUE","Call now","Prioritize outreach"))</f>
        <v/>
      </c>
    </row>
    <row r="41" ht="15.75" customHeight="1" s="19">
      <c r="A41" s="2">
        <f>IF(B41="","",RANK(H41,$H$2:$H$51,0))</f>
        <v/>
      </c>
      <c r="B41" s="2">
        <f t="array" ref="B41">IFERROR(INDEX(Leads!$A:$A,MATCH(LARGE(Leads!$BL$2:$BL$501,ROW()-1),Leads!$BL:$BL,0)),"")</f>
        <v/>
      </c>
      <c r="C41" s="2">
        <f t="array" ref="C41">IFERROR(INDEX(Leads!$B:$B,MATCH(B41,Leads!$A:$A,0)),"")</f>
        <v/>
      </c>
      <c r="D41" s="2">
        <f t="array" ref="D41">IFERROR(INDEX(Leads!$E:$E,MATCH(B41,Leads!$A:$A,0)),"")</f>
        <v/>
      </c>
      <c r="E41" s="2">
        <f t="array" ref="E41">IFERROR(INDEX(Leads!$K:$K,MATCH(B41,Leads!$A:$A,0)),"")</f>
        <v/>
      </c>
      <c r="F41" s="2">
        <f t="array" ref="F41">IFERROR(INDEX(Leads!$AC:$AC,MATCH(B41,Leads!$A:$A,0)),"")</f>
        <v/>
      </c>
      <c r="G41" s="2">
        <f t="array" ref="G41">IFERROR(INDEX(Leads!$BM:$BM,MATCH(B41,Leads!$A:$A,0)),"")</f>
        <v/>
      </c>
      <c r="H41" s="2">
        <f t="array" ref="H41">IFERROR(INDEX(Leads!$BL:$BL,MATCH(B41,Leads!$A:$A,0)),"")</f>
        <v/>
      </c>
      <c r="I41" s="2">
        <f t="array" ref="I41">IFERROR(INDEX(Leads!$AF:$AF,MATCH(B41,Leads!$A:$A,0)),"")</f>
        <v/>
      </c>
      <c r="J41" s="2">
        <f t="array" ref="J41">IFERROR(INDEX(Leads!$AE:$AE,MATCH(B41,Leads!$A:$A,0)),"")</f>
        <v/>
      </c>
      <c r="K41" s="2">
        <f t="array" ref="K41">IFERROR(INDEX(Leads!$AG:$AG,MATCH(B41,Leads!$A:$A,0)),"")</f>
        <v/>
      </c>
      <c r="L41" s="2">
        <f t="array" ref="L41">IFERROR(INDEX(Leads!$AZ:$AZ,MATCH(B41,Leads!$A:$A,0)),"")</f>
        <v/>
      </c>
      <c r="M41" s="2">
        <f t="array" ref="M41">IFERROR(INDEX(Leads!$BB:$BB,MATCH(B41,Leads!$A:$A,0)),"")</f>
        <v/>
      </c>
      <c r="N41" s="2">
        <f>IF(I41="","",IF(I41=TODAY(),"FOLLOW UP TODAY",IF(I41&lt;TODAY(),"OVERDUE","HIGH SCORE")))</f>
        <v/>
      </c>
      <c r="O41" s="2">
        <f>IF(N41="FOLLOW UP TODAY","Call / follow up",IF(N41="OVERDUE","Call now","Prioritize outreach"))</f>
        <v/>
      </c>
    </row>
    <row r="42" ht="15.75" customHeight="1" s="19">
      <c r="A42" s="2">
        <f>IF(B42="","",RANK(H42,$H$2:$H$51,0))</f>
        <v/>
      </c>
      <c r="B42" s="2">
        <f t="array" ref="B42">IFERROR(INDEX(Leads!$A:$A,MATCH(LARGE(Leads!$BL$2:$BL$501,ROW()-1),Leads!$BL:$BL,0)),"")</f>
        <v/>
      </c>
      <c r="C42" s="2">
        <f t="array" ref="C42">IFERROR(INDEX(Leads!$B:$B,MATCH(B42,Leads!$A:$A,0)),"")</f>
        <v/>
      </c>
      <c r="D42" s="2">
        <f t="array" ref="D42">IFERROR(INDEX(Leads!$E:$E,MATCH(B42,Leads!$A:$A,0)),"")</f>
        <v/>
      </c>
      <c r="E42" s="2">
        <f t="array" ref="E42">IFERROR(INDEX(Leads!$K:$K,MATCH(B42,Leads!$A:$A,0)),"")</f>
        <v/>
      </c>
      <c r="F42" s="2">
        <f t="array" ref="F42">IFERROR(INDEX(Leads!$AC:$AC,MATCH(B42,Leads!$A:$A,0)),"")</f>
        <v/>
      </c>
      <c r="G42" s="2">
        <f t="array" ref="G42">IFERROR(INDEX(Leads!$BM:$BM,MATCH(B42,Leads!$A:$A,0)),"")</f>
        <v/>
      </c>
      <c r="H42" s="2">
        <f t="array" ref="H42">IFERROR(INDEX(Leads!$BL:$BL,MATCH(B42,Leads!$A:$A,0)),"")</f>
        <v/>
      </c>
      <c r="I42" s="2">
        <f t="array" ref="I42">IFERROR(INDEX(Leads!$AF:$AF,MATCH(B42,Leads!$A:$A,0)),"")</f>
        <v/>
      </c>
      <c r="J42" s="2">
        <f t="array" ref="J42">IFERROR(INDEX(Leads!$AE:$AE,MATCH(B42,Leads!$A:$A,0)),"")</f>
        <v/>
      </c>
      <c r="K42" s="2">
        <f t="array" ref="K42">IFERROR(INDEX(Leads!$AG:$AG,MATCH(B42,Leads!$A:$A,0)),"")</f>
        <v/>
      </c>
      <c r="L42" s="2">
        <f t="array" ref="L42">IFERROR(INDEX(Leads!$AZ:$AZ,MATCH(B42,Leads!$A:$A,0)),"")</f>
        <v/>
      </c>
      <c r="M42" s="2">
        <f t="array" ref="M42">IFERROR(INDEX(Leads!$BB:$BB,MATCH(B42,Leads!$A:$A,0)),"")</f>
        <v/>
      </c>
      <c r="N42" s="2">
        <f>IF(I42="","",IF(I42=TODAY(),"FOLLOW UP TODAY",IF(I42&lt;TODAY(),"OVERDUE","HIGH SCORE")))</f>
        <v/>
      </c>
      <c r="O42" s="2">
        <f>IF(N42="FOLLOW UP TODAY","Call / follow up",IF(N42="OVERDUE","Call now","Prioritize outreach"))</f>
        <v/>
      </c>
    </row>
    <row r="43" ht="15.75" customHeight="1" s="19">
      <c r="A43" s="2">
        <f>IF(B43="","",RANK(H43,$H$2:$H$51,0))</f>
        <v/>
      </c>
      <c r="B43" s="2">
        <f t="array" ref="B43">IFERROR(INDEX(Leads!$A:$A,MATCH(LARGE(Leads!$BL$2:$BL$501,ROW()-1),Leads!$BL:$BL,0)),"")</f>
        <v/>
      </c>
      <c r="C43" s="2">
        <f t="array" ref="C43">IFERROR(INDEX(Leads!$B:$B,MATCH(B43,Leads!$A:$A,0)),"")</f>
        <v/>
      </c>
      <c r="D43" s="2">
        <f t="array" ref="D43">IFERROR(INDEX(Leads!$E:$E,MATCH(B43,Leads!$A:$A,0)),"")</f>
        <v/>
      </c>
      <c r="E43" s="2">
        <f t="array" ref="E43">IFERROR(INDEX(Leads!$K:$K,MATCH(B43,Leads!$A:$A,0)),"")</f>
        <v/>
      </c>
      <c r="F43" s="2">
        <f t="array" ref="F43">IFERROR(INDEX(Leads!$AC:$AC,MATCH(B43,Leads!$A:$A,0)),"")</f>
        <v/>
      </c>
      <c r="G43" s="2">
        <f t="array" ref="G43">IFERROR(INDEX(Leads!$BM:$BM,MATCH(B43,Leads!$A:$A,0)),"")</f>
        <v/>
      </c>
      <c r="H43" s="2">
        <f t="array" ref="H43">IFERROR(INDEX(Leads!$BL:$BL,MATCH(B43,Leads!$A:$A,0)),"")</f>
        <v/>
      </c>
      <c r="I43" s="2">
        <f t="array" ref="I43">IFERROR(INDEX(Leads!$AF:$AF,MATCH(B43,Leads!$A:$A,0)),"")</f>
        <v/>
      </c>
      <c r="J43" s="2">
        <f t="array" ref="J43">IFERROR(INDEX(Leads!$AE:$AE,MATCH(B43,Leads!$A:$A,0)),"")</f>
        <v/>
      </c>
      <c r="K43" s="2">
        <f t="array" ref="K43">IFERROR(INDEX(Leads!$AG:$AG,MATCH(B43,Leads!$A:$A,0)),"")</f>
        <v/>
      </c>
      <c r="L43" s="2">
        <f t="array" ref="L43">IFERROR(INDEX(Leads!$AZ:$AZ,MATCH(B43,Leads!$A:$A,0)),"")</f>
        <v/>
      </c>
      <c r="M43" s="2">
        <f t="array" ref="M43">IFERROR(INDEX(Leads!$BB:$BB,MATCH(B43,Leads!$A:$A,0)),"")</f>
        <v/>
      </c>
      <c r="N43" s="2">
        <f>IF(I43="","",IF(I43=TODAY(),"FOLLOW UP TODAY",IF(I43&lt;TODAY(),"OVERDUE","HIGH SCORE")))</f>
        <v/>
      </c>
      <c r="O43" s="2">
        <f>IF(N43="FOLLOW UP TODAY","Call / follow up",IF(N43="OVERDUE","Call now","Prioritize outreach"))</f>
        <v/>
      </c>
    </row>
    <row r="44" ht="15.75" customHeight="1" s="19">
      <c r="A44" s="2">
        <f>IF(B44="","",RANK(H44,$H$2:$H$51,0))</f>
        <v/>
      </c>
      <c r="B44" s="2">
        <f t="array" ref="B44">IFERROR(INDEX(Leads!$A:$A,MATCH(LARGE(Leads!$BL$2:$BL$501,ROW()-1),Leads!$BL:$BL,0)),"")</f>
        <v/>
      </c>
      <c r="C44" s="2">
        <f t="array" ref="C44">IFERROR(INDEX(Leads!$B:$B,MATCH(B44,Leads!$A:$A,0)),"")</f>
        <v/>
      </c>
      <c r="D44" s="2">
        <f t="array" ref="D44">IFERROR(INDEX(Leads!$E:$E,MATCH(B44,Leads!$A:$A,0)),"")</f>
        <v/>
      </c>
      <c r="E44" s="2">
        <f t="array" ref="E44">IFERROR(INDEX(Leads!$K:$K,MATCH(B44,Leads!$A:$A,0)),"")</f>
        <v/>
      </c>
      <c r="F44" s="2">
        <f t="array" ref="F44">IFERROR(INDEX(Leads!$AC:$AC,MATCH(B44,Leads!$A:$A,0)),"")</f>
        <v/>
      </c>
      <c r="G44" s="2">
        <f t="array" ref="G44">IFERROR(INDEX(Leads!$BM:$BM,MATCH(B44,Leads!$A:$A,0)),"")</f>
        <v/>
      </c>
      <c r="H44" s="2">
        <f t="array" ref="H44">IFERROR(INDEX(Leads!$BL:$BL,MATCH(B44,Leads!$A:$A,0)),"")</f>
        <v/>
      </c>
      <c r="I44" s="2">
        <f t="array" ref="I44">IFERROR(INDEX(Leads!$AF:$AF,MATCH(B44,Leads!$A:$A,0)),"")</f>
        <v/>
      </c>
      <c r="J44" s="2">
        <f t="array" ref="J44">IFERROR(INDEX(Leads!$AE:$AE,MATCH(B44,Leads!$A:$A,0)),"")</f>
        <v/>
      </c>
      <c r="K44" s="2">
        <f t="array" ref="K44">IFERROR(INDEX(Leads!$AG:$AG,MATCH(B44,Leads!$A:$A,0)),"")</f>
        <v/>
      </c>
      <c r="L44" s="2">
        <f t="array" ref="L44">IFERROR(INDEX(Leads!$AZ:$AZ,MATCH(B44,Leads!$A:$A,0)),"")</f>
        <v/>
      </c>
      <c r="M44" s="2">
        <f t="array" ref="M44">IFERROR(INDEX(Leads!$BB:$BB,MATCH(B44,Leads!$A:$A,0)),"")</f>
        <v/>
      </c>
      <c r="N44" s="2">
        <f>IF(I44="","",IF(I44=TODAY(),"FOLLOW UP TODAY",IF(I44&lt;TODAY(),"OVERDUE","HIGH SCORE")))</f>
        <v/>
      </c>
      <c r="O44" s="2">
        <f>IF(N44="FOLLOW UP TODAY","Call / follow up",IF(N44="OVERDUE","Call now","Prioritize outreach"))</f>
        <v/>
      </c>
    </row>
    <row r="45" ht="15.75" customHeight="1" s="19">
      <c r="A45" s="2">
        <f>IF(B45="","",RANK(H45,$H$2:$H$51,0))</f>
        <v/>
      </c>
      <c r="B45" s="2">
        <f t="array" ref="B45">IFERROR(INDEX(Leads!$A:$A,MATCH(LARGE(Leads!$BL$2:$BL$501,ROW()-1),Leads!$BL:$BL,0)),"")</f>
        <v/>
      </c>
      <c r="C45" s="2">
        <f t="array" ref="C45">IFERROR(INDEX(Leads!$B:$B,MATCH(B45,Leads!$A:$A,0)),"")</f>
        <v/>
      </c>
      <c r="D45" s="2">
        <f t="array" ref="D45">IFERROR(INDEX(Leads!$E:$E,MATCH(B45,Leads!$A:$A,0)),"")</f>
        <v/>
      </c>
      <c r="E45" s="2">
        <f t="array" ref="E45">IFERROR(INDEX(Leads!$K:$K,MATCH(B45,Leads!$A:$A,0)),"")</f>
        <v/>
      </c>
      <c r="F45" s="2">
        <f t="array" ref="F45">IFERROR(INDEX(Leads!$AC:$AC,MATCH(B45,Leads!$A:$A,0)),"")</f>
        <v/>
      </c>
      <c r="G45" s="2">
        <f t="array" ref="G45">IFERROR(INDEX(Leads!$BM:$BM,MATCH(B45,Leads!$A:$A,0)),"")</f>
        <v/>
      </c>
      <c r="H45" s="2">
        <f t="array" ref="H45">IFERROR(INDEX(Leads!$BL:$BL,MATCH(B45,Leads!$A:$A,0)),"")</f>
        <v/>
      </c>
      <c r="I45" s="2">
        <f t="array" ref="I45">IFERROR(INDEX(Leads!$AF:$AF,MATCH(B45,Leads!$A:$A,0)),"")</f>
        <v/>
      </c>
      <c r="J45" s="2">
        <f t="array" ref="J45">IFERROR(INDEX(Leads!$AE:$AE,MATCH(B45,Leads!$A:$A,0)),"")</f>
        <v/>
      </c>
      <c r="K45" s="2">
        <f t="array" ref="K45">IFERROR(INDEX(Leads!$AG:$AG,MATCH(B45,Leads!$A:$A,0)),"")</f>
        <v/>
      </c>
      <c r="L45" s="2">
        <f t="array" ref="L45">IFERROR(INDEX(Leads!$AZ:$AZ,MATCH(B45,Leads!$A:$A,0)),"")</f>
        <v/>
      </c>
      <c r="M45" s="2">
        <f t="array" ref="M45">IFERROR(INDEX(Leads!$BB:$BB,MATCH(B45,Leads!$A:$A,0)),"")</f>
        <v/>
      </c>
      <c r="N45" s="2">
        <f>IF(I45="","",IF(I45=TODAY(),"FOLLOW UP TODAY",IF(I45&lt;TODAY(),"OVERDUE","HIGH SCORE")))</f>
        <v/>
      </c>
      <c r="O45" s="2">
        <f>IF(N45="FOLLOW UP TODAY","Call / follow up",IF(N45="OVERDUE","Call now","Prioritize outreach"))</f>
        <v/>
      </c>
    </row>
    <row r="46" ht="15.75" customHeight="1" s="19">
      <c r="A46" s="2">
        <f>IF(B46="","",RANK(H46,$H$2:$H$51,0))</f>
        <v/>
      </c>
      <c r="B46" s="2">
        <f t="array" ref="B46">IFERROR(INDEX(Leads!$A:$A,MATCH(LARGE(Leads!$BL$2:$BL$501,ROW()-1),Leads!$BL:$BL,0)),"")</f>
        <v/>
      </c>
      <c r="C46" s="2">
        <f t="array" ref="C46">IFERROR(INDEX(Leads!$B:$B,MATCH(B46,Leads!$A:$A,0)),"")</f>
        <v/>
      </c>
      <c r="D46" s="2">
        <f t="array" ref="D46">IFERROR(INDEX(Leads!$E:$E,MATCH(B46,Leads!$A:$A,0)),"")</f>
        <v/>
      </c>
      <c r="E46" s="2">
        <f t="array" ref="E46">IFERROR(INDEX(Leads!$K:$K,MATCH(B46,Leads!$A:$A,0)),"")</f>
        <v/>
      </c>
      <c r="F46" s="2">
        <f t="array" ref="F46">IFERROR(INDEX(Leads!$AC:$AC,MATCH(B46,Leads!$A:$A,0)),"")</f>
        <v/>
      </c>
      <c r="G46" s="2">
        <f t="array" ref="G46">IFERROR(INDEX(Leads!$BM:$BM,MATCH(B46,Leads!$A:$A,0)),"")</f>
        <v/>
      </c>
      <c r="H46" s="2">
        <f t="array" ref="H46">IFERROR(INDEX(Leads!$BL:$BL,MATCH(B46,Leads!$A:$A,0)),"")</f>
        <v/>
      </c>
      <c r="I46" s="2">
        <f t="array" ref="I46">IFERROR(INDEX(Leads!$AF:$AF,MATCH(B46,Leads!$A:$A,0)),"")</f>
        <v/>
      </c>
      <c r="J46" s="2">
        <f t="array" ref="J46">IFERROR(INDEX(Leads!$AE:$AE,MATCH(B46,Leads!$A:$A,0)),"")</f>
        <v/>
      </c>
      <c r="K46" s="2">
        <f t="array" ref="K46">IFERROR(INDEX(Leads!$AG:$AG,MATCH(B46,Leads!$A:$A,0)),"")</f>
        <v/>
      </c>
      <c r="L46" s="2">
        <f t="array" ref="L46">IFERROR(INDEX(Leads!$AZ:$AZ,MATCH(B46,Leads!$A:$A,0)),"")</f>
        <v/>
      </c>
      <c r="M46" s="2">
        <f t="array" ref="M46">IFERROR(INDEX(Leads!$BB:$BB,MATCH(B46,Leads!$A:$A,0)),"")</f>
        <v/>
      </c>
      <c r="N46" s="2">
        <f>IF(I46="","",IF(I46=TODAY(),"FOLLOW UP TODAY",IF(I46&lt;TODAY(),"OVERDUE","HIGH SCORE")))</f>
        <v/>
      </c>
      <c r="O46" s="2">
        <f>IF(N46="FOLLOW UP TODAY","Call / follow up",IF(N46="OVERDUE","Call now","Prioritize outreach"))</f>
        <v/>
      </c>
    </row>
    <row r="47" ht="15.75" customHeight="1" s="19">
      <c r="A47" s="2">
        <f>IF(B47="","",RANK(H47,$H$2:$H$51,0))</f>
        <v/>
      </c>
      <c r="B47" s="2">
        <f t="array" ref="B47">IFERROR(INDEX(Leads!$A:$A,MATCH(LARGE(Leads!$BL$2:$BL$501,ROW()-1),Leads!$BL:$BL,0)),"")</f>
        <v/>
      </c>
      <c r="C47" s="2">
        <f t="array" ref="C47">IFERROR(INDEX(Leads!$B:$B,MATCH(B47,Leads!$A:$A,0)),"")</f>
        <v/>
      </c>
      <c r="D47" s="2">
        <f t="array" ref="D47">IFERROR(INDEX(Leads!$E:$E,MATCH(B47,Leads!$A:$A,0)),"")</f>
        <v/>
      </c>
      <c r="E47" s="2">
        <f t="array" ref="E47">IFERROR(INDEX(Leads!$K:$K,MATCH(B47,Leads!$A:$A,0)),"")</f>
        <v/>
      </c>
      <c r="F47" s="2">
        <f t="array" ref="F47">IFERROR(INDEX(Leads!$AC:$AC,MATCH(B47,Leads!$A:$A,0)),"")</f>
        <v/>
      </c>
      <c r="G47" s="2">
        <f t="array" ref="G47">IFERROR(INDEX(Leads!$BM:$BM,MATCH(B47,Leads!$A:$A,0)),"")</f>
        <v/>
      </c>
      <c r="H47" s="2">
        <f t="array" ref="H47">IFERROR(INDEX(Leads!$BL:$BL,MATCH(B47,Leads!$A:$A,0)),"")</f>
        <v/>
      </c>
      <c r="I47" s="2">
        <f t="array" ref="I47">IFERROR(INDEX(Leads!$AF:$AF,MATCH(B47,Leads!$A:$A,0)),"")</f>
        <v/>
      </c>
      <c r="J47" s="2">
        <f t="array" ref="J47">IFERROR(INDEX(Leads!$AE:$AE,MATCH(B47,Leads!$A:$A,0)),"")</f>
        <v/>
      </c>
      <c r="K47" s="2">
        <f t="array" ref="K47">IFERROR(INDEX(Leads!$AG:$AG,MATCH(B47,Leads!$A:$A,0)),"")</f>
        <v/>
      </c>
      <c r="L47" s="2">
        <f t="array" ref="L47">IFERROR(INDEX(Leads!$AZ:$AZ,MATCH(B47,Leads!$A:$A,0)),"")</f>
        <v/>
      </c>
      <c r="M47" s="2">
        <f t="array" ref="M47">IFERROR(INDEX(Leads!$BB:$BB,MATCH(B47,Leads!$A:$A,0)),"")</f>
        <v/>
      </c>
      <c r="N47" s="2">
        <f>IF(I47="","",IF(I47=TODAY(),"FOLLOW UP TODAY",IF(I47&lt;TODAY(),"OVERDUE","HIGH SCORE")))</f>
        <v/>
      </c>
      <c r="O47" s="2">
        <f>IF(N47="FOLLOW UP TODAY","Call / follow up",IF(N47="OVERDUE","Call now","Prioritize outreach"))</f>
        <v/>
      </c>
    </row>
    <row r="48" ht="15.75" customHeight="1" s="19">
      <c r="A48" s="2">
        <f>IF(B48="","",RANK(H48,$H$2:$H$51,0))</f>
        <v/>
      </c>
      <c r="B48" s="2">
        <f t="array" ref="B48">IFERROR(INDEX(Leads!$A:$A,MATCH(LARGE(Leads!$BL$2:$BL$501,ROW()-1),Leads!$BL:$BL,0)),"")</f>
        <v/>
      </c>
      <c r="C48" s="2">
        <f t="array" ref="C48">IFERROR(INDEX(Leads!$B:$B,MATCH(B48,Leads!$A:$A,0)),"")</f>
        <v/>
      </c>
      <c r="D48" s="2">
        <f t="array" ref="D48">IFERROR(INDEX(Leads!$E:$E,MATCH(B48,Leads!$A:$A,0)),"")</f>
        <v/>
      </c>
      <c r="E48" s="2">
        <f t="array" ref="E48">IFERROR(INDEX(Leads!$K:$K,MATCH(B48,Leads!$A:$A,0)),"")</f>
        <v/>
      </c>
      <c r="F48" s="2">
        <f t="array" ref="F48">IFERROR(INDEX(Leads!$AC:$AC,MATCH(B48,Leads!$A:$A,0)),"")</f>
        <v/>
      </c>
      <c r="G48" s="2">
        <f t="array" ref="G48">IFERROR(INDEX(Leads!$BM:$BM,MATCH(B48,Leads!$A:$A,0)),"")</f>
        <v/>
      </c>
      <c r="H48" s="2">
        <f t="array" ref="H48">IFERROR(INDEX(Leads!$BL:$BL,MATCH(B48,Leads!$A:$A,0)),"")</f>
        <v/>
      </c>
      <c r="I48" s="2">
        <f t="array" ref="I48">IFERROR(INDEX(Leads!$AF:$AF,MATCH(B48,Leads!$A:$A,0)),"")</f>
        <v/>
      </c>
      <c r="J48" s="2">
        <f t="array" ref="J48">IFERROR(INDEX(Leads!$AE:$AE,MATCH(B48,Leads!$A:$A,0)),"")</f>
        <v/>
      </c>
      <c r="K48" s="2">
        <f t="array" ref="K48">IFERROR(INDEX(Leads!$AG:$AG,MATCH(B48,Leads!$A:$A,0)),"")</f>
        <v/>
      </c>
      <c r="L48" s="2">
        <f t="array" ref="L48">IFERROR(INDEX(Leads!$AZ:$AZ,MATCH(B48,Leads!$A:$A,0)),"")</f>
        <v/>
      </c>
      <c r="M48" s="2">
        <f t="array" ref="M48">IFERROR(INDEX(Leads!$BB:$BB,MATCH(B48,Leads!$A:$A,0)),"")</f>
        <v/>
      </c>
      <c r="N48" s="2">
        <f>IF(I48="","",IF(I48=TODAY(),"FOLLOW UP TODAY",IF(I48&lt;TODAY(),"OVERDUE","HIGH SCORE")))</f>
        <v/>
      </c>
      <c r="O48" s="2">
        <f>IF(N48="FOLLOW UP TODAY","Call / follow up",IF(N48="OVERDUE","Call now","Prioritize outreach"))</f>
        <v/>
      </c>
    </row>
    <row r="49" ht="15.75" customHeight="1" s="19">
      <c r="A49" s="2">
        <f>IF(B49="","",RANK(H49,$H$2:$H$51,0))</f>
        <v/>
      </c>
      <c r="B49" s="2">
        <f t="array" ref="B49">IFERROR(INDEX(Leads!$A:$A,MATCH(LARGE(Leads!$BL$2:$BL$501,ROW()-1),Leads!$BL:$BL,0)),"")</f>
        <v/>
      </c>
      <c r="C49" s="2">
        <f t="array" ref="C49">IFERROR(INDEX(Leads!$B:$B,MATCH(B49,Leads!$A:$A,0)),"")</f>
        <v/>
      </c>
      <c r="D49" s="2">
        <f t="array" ref="D49">IFERROR(INDEX(Leads!$E:$E,MATCH(B49,Leads!$A:$A,0)),"")</f>
        <v/>
      </c>
      <c r="E49" s="2">
        <f t="array" ref="E49">IFERROR(INDEX(Leads!$K:$K,MATCH(B49,Leads!$A:$A,0)),"")</f>
        <v/>
      </c>
      <c r="F49" s="2">
        <f t="array" ref="F49">IFERROR(INDEX(Leads!$AC:$AC,MATCH(B49,Leads!$A:$A,0)),"")</f>
        <v/>
      </c>
      <c r="G49" s="2">
        <f t="array" ref="G49">IFERROR(INDEX(Leads!$BM:$BM,MATCH(B49,Leads!$A:$A,0)),"")</f>
        <v/>
      </c>
      <c r="H49" s="2">
        <f t="array" ref="H49">IFERROR(INDEX(Leads!$BL:$BL,MATCH(B49,Leads!$A:$A,0)),"")</f>
        <v/>
      </c>
      <c r="I49" s="2">
        <f t="array" ref="I49">IFERROR(INDEX(Leads!$AF:$AF,MATCH(B49,Leads!$A:$A,0)),"")</f>
        <v/>
      </c>
      <c r="J49" s="2">
        <f t="array" ref="J49">IFERROR(INDEX(Leads!$AE:$AE,MATCH(B49,Leads!$A:$A,0)),"")</f>
        <v/>
      </c>
      <c r="K49" s="2">
        <f t="array" ref="K49">IFERROR(INDEX(Leads!$AG:$AG,MATCH(B49,Leads!$A:$A,0)),"")</f>
        <v/>
      </c>
      <c r="L49" s="2">
        <f t="array" ref="L49">IFERROR(INDEX(Leads!$AZ:$AZ,MATCH(B49,Leads!$A:$A,0)),"")</f>
        <v/>
      </c>
      <c r="M49" s="2">
        <f t="array" ref="M49">IFERROR(INDEX(Leads!$BB:$BB,MATCH(B49,Leads!$A:$A,0)),"")</f>
        <v/>
      </c>
      <c r="N49" s="2">
        <f>IF(I49="","",IF(I49=TODAY(),"FOLLOW UP TODAY",IF(I49&lt;TODAY(),"OVERDUE","HIGH SCORE")))</f>
        <v/>
      </c>
      <c r="O49" s="2">
        <f>IF(N49="FOLLOW UP TODAY","Call / follow up",IF(N49="OVERDUE","Call now","Prioritize outreach"))</f>
        <v/>
      </c>
    </row>
    <row r="50" ht="15.75" customHeight="1" s="19">
      <c r="A50" s="2">
        <f>IF(B50="","",RANK(H50,$H$2:$H$51,0))</f>
        <v/>
      </c>
      <c r="B50" s="2">
        <f t="array" ref="B50">IFERROR(INDEX(Leads!$A:$A,MATCH(LARGE(Leads!$BL$2:$BL$501,ROW()-1),Leads!$BL:$BL,0)),"")</f>
        <v/>
      </c>
      <c r="C50" s="2">
        <f t="array" ref="C50">IFERROR(INDEX(Leads!$B:$B,MATCH(B50,Leads!$A:$A,0)),"")</f>
        <v/>
      </c>
      <c r="D50" s="2">
        <f t="array" ref="D50">IFERROR(INDEX(Leads!$E:$E,MATCH(B50,Leads!$A:$A,0)),"")</f>
        <v/>
      </c>
      <c r="E50" s="2">
        <f t="array" ref="E50">IFERROR(INDEX(Leads!$K:$K,MATCH(B50,Leads!$A:$A,0)),"")</f>
        <v/>
      </c>
      <c r="F50" s="2">
        <f t="array" ref="F50">IFERROR(INDEX(Leads!$AC:$AC,MATCH(B50,Leads!$A:$A,0)),"")</f>
        <v/>
      </c>
      <c r="G50" s="2">
        <f t="array" ref="G50">IFERROR(INDEX(Leads!$BM:$BM,MATCH(B50,Leads!$A:$A,0)),"")</f>
        <v/>
      </c>
      <c r="H50" s="2">
        <f t="array" ref="H50">IFERROR(INDEX(Leads!$BL:$BL,MATCH(B50,Leads!$A:$A,0)),"")</f>
        <v/>
      </c>
      <c r="I50" s="2">
        <f t="array" ref="I50">IFERROR(INDEX(Leads!$AF:$AF,MATCH(B50,Leads!$A:$A,0)),"")</f>
        <v/>
      </c>
      <c r="J50" s="2">
        <f t="array" ref="J50">IFERROR(INDEX(Leads!$AE:$AE,MATCH(B50,Leads!$A:$A,0)),"")</f>
        <v/>
      </c>
      <c r="K50" s="2">
        <f t="array" ref="K50">IFERROR(INDEX(Leads!$AG:$AG,MATCH(B50,Leads!$A:$A,0)),"")</f>
        <v/>
      </c>
      <c r="L50" s="2">
        <f t="array" ref="L50">IFERROR(INDEX(Leads!$AZ:$AZ,MATCH(B50,Leads!$A:$A,0)),"")</f>
        <v/>
      </c>
      <c r="M50" s="2">
        <f t="array" ref="M50">IFERROR(INDEX(Leads!$BB:$BB,MATCH(B50,Leads!$A:$A,0)),"")</f>
        <v/>
      </c>
      <c r="N50" s="2">
        <f>IF(I50="","",IF(I50=TODAY(),"FOLLOW UP TODAY",IF(I50&lt;TODAY(),"OVERDUE","HIGH SCORE")))</f>
        <v/>
      </c>
      <c r="O50" s="2">
        <f>IF(N50="FOLLOW UP TODAY","Call / follow up",IF(N50="OVERDUE","Call now","Prioritize outreach"))</f>
        <v/>
      </c>
    </row>
    <row r="51" ht="15.75" customHeight="1" s="19">
      <c r="A51" s="2">
        <f>IF(B51="","",RANK(H51,$H$2:$H$51,0))</f>
        <v/>
      </c>
      <c r="B51" s="2">
        <f t="array" ref="B51">IFERROR(INDEX(Leads!$A:$A,MATCH(LARGE(Leads!$BL$2:$BL$501,ROW()-1),Leads!$BL:$BL,0)),"")</f>
        <v/>
      </c>
      <c r="C51" s="2">
        <f t="array" ref="C51">IFERROR(INDEX(Leads!$B:$B,MATCH(B51,Leads!$A:$A,0)),"")</f>
        <v/>
      </c>
      <c r="D51" s="2">
        <f t="array" ref="D51">IFERROR(INDEX(Leads!$E:$E,MATCH(B51,Leads!$A:$A,0)),"")</f>
        <v/>
      </c>
      <c r="E51" s="2">
        <f t="array" ref="E51">IFERROR(INDEX(Leads!$K:$K,MATCH(B51,Leads!$A:$A,0)),"")</f>
        <v/>
      </c>
      <c r="F51" s="2">
        <f t="array" ref="F51">IFERROR(INDEX(Leads!$AC:$AC,MATCH(B51,Leads!$A:$A,0)),"")</f>
        <v/>
      </c>
      <c r="G51" s="2">
        <f t="array" ref="G51">IFERROR(INDEX(Leads!$BM:$BM,MATCH(B51,Leads!$A:$A,0)),"")</f>
        <v/>
      </c>
      <c r="H51" s="2">
        <f t="array" ref="H51">IFERROR(INDEX(Leads!$BL:$BL,MATCH(B51,Leads!$A:$A,0)),"")</f>
        <v/>
      </c>
      <c r="I51" s="2">
        <f t="array" ref="I51">IFERROR(INDEX(Leads!$AF:$AF,MATCH(B51,Leads!$A:$A,0)),"")</f>
        <v/>
      </c>
      <c r="J51" s="2">
        <f t="array" ref="J51">IFERROR(INDEX(Leads!$AE:$AE,MATCH(B51,Leads!$A:$A,0)),"")</f>
        <v/>
      </c>
      <c r="K51" s="2">
        <f t="array" ref="K51">IFERROR(INDEX(Leads!$AG:$AG,MATCH(B51,Leads!$A:$A,0)),"")</f>
        <v/>
      </c>
      <c r="L51" s="2">
        <f t="array" ref="L51">IFERROR(INDEX(Leads!$AZ:$AZ,MATCH(B51,Leads!$A:$A,0)),"")</f>
        <v/>
      </c>
      <c r="M51" s="2">
        <f t="array" ref="M51">IFERROR(INDEX(Leads!$BB:$BB,MATCH(B51,Leads!$A:$A,0)),"")</f>
        <v/>
      </c>
      <c r="N51" s="2">
        <f>IF(I51="","",IF(I51=TODAY(),"FOLLOW UP TODAY",IF(I51&lt;TODAY(),"OVERDUE","HIGH SCORE")))</f>
        <v/>
      </c>
      <c r="O51" s="2">
        <f>IF(N51="FOLLOW UP TODAY","Call / follow up",IF(N51="OVERDUE","Call now","Prioritize outreach"))</f>
        <v/>
      </c>
    </row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1:$O$51"/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P5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19" min="1" max="67"/>
    <col width="8.710000000000001" customWidth="1" style="19" min="68" max="68"/>
  </cols>
  <sheetData>
    <row r="1" ht="30" customHeight="1" s="19">
      <c r="A1" s="17" t="inlineStr">
        <is>
          <t>Lead ID</t>
        </is>
      </c>
      <c r="B1" s="17" t="inlineStr">
        <is>
          <t>Business Name</t>
        </is>
      </c>
      <c r="C1" s="17" t="inlineStr">
        <is>
          <t>Legal / DBA Name</t>
        </is>
      </c>
      <c r="D1" s="17" t="inlineStr">
        <is>
          <t>Business Type</t>
        </is>
      </c>
      <c r="E1" s="17" t="inlineStr">
        <is>
          <t>Industry</t>
        </is>
      </c>
      <c r="F1" s="17" t="inlineStr">
        <is>
          <t>Sub-Industry</t>
        </is>
      </c>
      <c r="G1" s="17" t="inlineStr">
        <is>
          <t>Service Type</t>
        </is>
      </c>
      <c r="H1" s="17" t="inlineStr">
        <is>
          <t>Website</t>
        </is>
      </c>
      <c r="I1" s="17" t="inlineStr">
        <is>
          <t>Phone</t>
        </is>
      </c>
      <c r="J1" s="17" t="inlineStr">
        <is>
          <t>Email</t>
        </is>
      </c>
      <c r="K1" s="17" t="inlineStr">
        <is>
          <t>City</t>
        </is>
      </c>
      <c r="L1" s="17" t="inlineStr">
        <is>
          <t>Province/State</t>
        </is>
      </c>
      <c r="M1" s="17" t="inlineStr">
        <is>
          <t>Country</t>
        </is>
      </c>
      <c r="N1" s="17" t="inlineStr">
        <is>
          <t>Postal/ZIP</t>
        </is>
      </c>
      <c r="O1" s="17" t="inlineStr">
        <is>
          <t>Service Area</t>
        </is>
      </c>
      <c r="P1" s="17" t="inlineStr">
        <is>
          <t>Locations</t>
        </is>
      </c>
      <c r="Q1" s="17" t="inlineStr">
        <is>
          <t>Primary Contact</t>
        </is>
      </c>
      <c r="R1" s="17" t="inlineStr">
        <is>
          <t>Contact Role</t>
        </is>
      </c>
      <c r="S1" s="17" t="inlineStr">
        <is>
          <t>Decision Maker?</t>
        </is>
      </c>
      <c r="T1" s="17" t="inlineStr">
        <is>
          <t>Contact Phone</t>
        </is>
      </c>
      <c r="U1" s="17" t="inlineStr">
        <is>
          <t>Contact Email</t>
        </is>
      </c>
      <c r="V1" s="17" t="inlineStr">
        <is>
          <t>LinkedIn</t>
        </is>
      </c>
      <c r="W1" s="17" t="inlineStr">
        <is>
          <t>Instagram</t>
        </is>
      </c>
      <c r="X1" s="17" t="inlineStr">
        <is>
          <t>Facebook</t>
        </is>
      </c>
      <c r="Y1" s="17" t="inlineStr">
        <is>
          <t>Lead Source</t>
        </is>
      </c>
      <c r="Z1" s="17" t="inlineStr">
        <is>
          <t>Source Detail</t>
        </is>
      </c>
      <c r="AA1" s="17" t="inlineStr">
        <is>
          <t>Source Quality</t>
        </is>
      </c>
      <c r="AB1" s="17" t="inlineStr">
        <is>
          <t>Lead Status</t>
        </is>
      </c>
      <c r="AC1" s="17" t="inlineStr">
        <is>
          <t>Priority</t>
        </is>
      </c>
      <c r="AD1" s="17" t="inlineStr">
        <is>
          <t>Date Added</t>
        </is>
      </c>
      <c r="AE1" s="17" t="inlineStr">
        <is>
          <t>Last Contact</t>
        </is>
      </c>
      <c r="AF1" s="17" t="inlineStr">
        <is>
          <t>Next Follow-Up</t>
        </is>
      </c>
      <c r="AG1" s="17" t="inlineStr">
        <is>
          <t>Contact Attempts</t>
        </is>
      </c>
      <c r="AH1" s="17" t="inlineStr">
        <is>
          <t>Last Outcome</t>
        </is>
      </c>
      <c r="AI1" s="17" t="inlineStr">
        <is>
          <t>Business Size</t>
        </is>
      </c>
      <c r="AJ1" s="17" t="inlineStr">
        <is>
          <t>Employees</t>
        </is>
      </c>
      <c r="AK1" s="17" t="inlineStr">
        <is>
          <t>Estimated Revenue</t>
        </is>
      </c>
      <c r="AL1" s="17" t="inlineStr">
        <is>
          <t>Years in Business</t>
        </is>
      </c>
      <c r="AM1" s="17" t="inlineStr">
        <is>
          <t>Google Rating</t>
        </is>
      </c>
      <c r="AN1" s="17" t="inlineStr">
        <is>
          <t>Review Count</t>
        </is>
      </c>
      <c r="AO1" s="17" t="inlineStr">
        <is>
          <t>Social Followers</t>
        </is>
      </c>
      <c r="AP1" s="17" t="inlineStr">
        <is>
          <t>Website Platform</t>
        </is>
      </c>
      <c r="AQ1" s="17" t="inlineStr">
        <is>
          <t>Website Quality</t>
        </is>
      </c>
      <c r="AR1" s="17" t="inlineStr">
        <is>
          <t>Current Booking</t>
        </is>
      </c>
      <c r="AS1" s="17" t="inlineStr">
        <is>
          <t>Current Payments</t>
        </is>
      </c>
      <c r="AT1" s="17" t="inlineStr">
        <is>
          <t>Current CRM</t>
        </is>
      </c>
      <c r="AU1" s="17" t="inlineStr">
        <is>
          <t>Current Accounting</t>
        </is>
      </c>
      <c r="AV1" s="17" t="inlineStr">
        <is>
          <t>Current Invoicing</t>
        </is>
      </c>
      <c r="AW1" s="17" t="inlineStr">
        <is>
          <t>Current Email Marketing</t>
        </is>
      </c>
      <c r="AX1" s="17" t="inlineStr">
        <is>
          <t>Current POS</t>
        </is>
      </c>
      <c r="AY1" s="17" t="inlineStr">
        <is>
          <t>Pain Points</t>
        </is>
      </c>
      <c r="AZ1" s="17" t="inlineStr">
        <is>
          <t>Primary Pain Point</t>
        </is>
      </c>
      <c r="BA1" s="17" t="inlineStr">
        <is>
          <t>Peak Opportunity</t>
        </is>
      </c>
      <c r="BB1" s="17" t="inlineStr">
        <is>
          <t>Recommended Plan</t>
        </is>
      </c>
      <c r="BC1" s="17" t="inlineStr">
        <is>
          <t>Fit Score</t>
        </is>
      </c>
      <c r="BD1" s="17" t="inlineStr">
        <is>
          <t>Engagement Score</t>
        </is>
      </c>
      <c r="BE1" s="17" t="inlineStr">
        <is>
          <t>Buying Potential Score</t>
        </is>
      </c>
      <c r="BF1" s="17" t="inlineStr">
        <is>
          <t>Accessibility Score</t>
        </is>
      </c>
      <c r="BG1" s="17" t="inlineStr">
        <is>
          <t>Total Lead Score</t>
        </is>
      </c>
      <c r="BH1" s="17" t="inlineStr">
        <is>
          <t>Lead Temperature</t>
        </is>
      </c>
      <c r="BI1" s="17" t="inlineStr">
        <is>
          <t>Pipeline Stage</t>
        </is>
      </c>
      <c r="BJ1" s="17" t="inlineStr">
        <is>
          <t>Opportunity ID</t>
        </is>
      </c>
      <c r="BK1" s="17" t="inlineStr">
        <is>
          <t>Estimated Deal Value</t>
        </is>
      </c>
      <c r="BL1" s="17" t="inlineStr">
        <is>
          <t>Estimated MRR</t>
        </is>
      </c>
      <c r="BM1" s="17" t="inlineStr">
        <is>
          <t>Expected Close</t>
        </is>
      </c>
      <c r="BN1" s="17" t="inlineStr">
        <is>
          <t>Lost Reason</t>
        </is>
      </c>
      <c r="BO1" s="17" t="inlineStr">
        <is>
          <t>Notes</t>
        </is>
      </c>
    </row>
    <row r="2">
      <c r="AD2" s="13" t="n"/>
      <c r="AE2" s="13">
        <f>IF(A2="","",IFERROR(MAXIFS(Activities!$D:$D,Activities!$B:$B,A2),""))</f>
        <v/>
      </c>
      <c r="AF2" s="13">
        <f>IF(A2="","",IFERROR(MINIFS(Follow_Ups!$G:$G,Follow_Ups!$B:$B,A2,Follow_Ups!$H:$H,"&lt;&gt;Completed",Follow_Ups!$G:$G,"&gt;="&amp;TODAY()),""))</f>
        <v/>
      </c>
      <c r="AG2" s="2">
        <f>IF(A2="","",COUNTIF(Activities!$B:$B,A2))</f>
        <v/>
      </c>
      <c r="BG2" s="2">
        <f>IF(COUNTA(BH2:BK2)=0,"",ROUND(AVERAGE(BH2:BK2),0))</f>
        <v/>
      </c>
      <c r="BH2" s="2">
        <f>IF(BL2="","",IF(BL2&gt;=90,"HOT",IF(BL2&gt;=75,"HIGH",IF(BL2&gt;=50,"MEDIUM","LOW"))))</f>
        <v/>
      </c>
      <c r="BL2" s="2">
        <f>IFERROR(BN2/12,"")</f>
        <v/>
      </c>
      <c r="BP2" s="15" t="n"/>
    </row>
    <row r="3">
      <c r="AD3" s="13" t="n"/>
      <c r="AE3" s="13">
        <f>IF(A3="","",IFERROR(MAXIFS(Activities!$D:$D,Activities!$B:$B,A3),""))</f>
        <v/>
      </c>
      <c r="AF3" s="13">
        <f>IF(A3="","",IFERROR(MINIFS(Follow_Ups!$G:$G,Follow_Ups!$B:$B,A3,Follow_Ups!$H:$H,"&lt;&gt;Completed",Follow_Ups!$G:$G,"&gt;="&amp;TODAY()),""))</f>
        <v/>
      </c>
      <c r="AG3" s="2">
        <f>IF(A3="","",COUNTIF(Activities!$B:$B,A3))</f>
        <v/>
      </c>
      <c r="BG3" s="2">
        <f>IF(COUNTA(BH3:BK3)=0,"",ROUND(AVERAGE(BH3:BK3),0))</f>
        <v/>
      </c>
      <c r="BH3" s="2">
        <f>IF(BL3="","",IF(BL3&gt;=90,"HOT",IF(BL3&gt;=75,"HIGH",IF(BL3&gt;=50,"MEDIUM","LOW"))))</f>
        <v/>
      </c>
      <c r="BL3" s="2">
        <f>IFERROR(BN3/12,"")</f>
        <v/>
      </c>
      <c r="BP3" s="15" t="n"/>
    </row>
    <row r="4">
      <c r="AD4" s="13" t="n"/>
      <c r="AE4" s="13">
        <f>IF(A4="","",IFERROR(MAXIFS(Activities!$D:$D,Activities!$B:$B,A4),""))</f>
        <v/>
      </c>
      <c r="AF4" s="13">
        <f>IF(A4="","",IFERROR(MINIFS(Follow_Ups!$G:$G,Follow_Ups!$B:$B,A4,Follow_Ups!$H:$H,"&lt;&gt;Completed",Follow_Ups!$G:$G,"&gt;="&amp;TODAY()),""))</f>
        <v/>
      </c>
      <c r="AG4" s="2">
        <f>IF(A4="","",COUNTIF(Activities!$B:$B,A4))</f>
        <v/>
      </c>
      <c r="BG4" s="2">
        <f>IF(COUNTA(BH4:BK4)=0,"",ROUND(AVERAGE(BH4:BK4),0))</f>
        <v/>
      </c>
      <c r="BH4" s="2">
        <f>IF(BL4="","",IF(BL4&gt;=90,"HOT",IF(BL4&gt;=75,"HIGH",IF(BL4&gt;=50,"MEDIUM","LOW"))))</f>
        <v/>
      </c>
      <c r="BL4" s="2">
        <f>IFERROR(BN4/12,"")</f>
        <v/>
      </c>
      <c r="BP4" s="15" t="n"/>
    </row>
    <row r="5">
      <c r="AD5" s="13" t="n"/>
      <c r="AE5" s="13">
        <f>IF(A5="","",IFERROR(MAXIFS(Activities!$D:$D,Activities!$B:$B,A5),""))</f>
        <v/>
      </c>
      <c r="AF5" s="13">
        <f>IF(A5="","",IFERROR(MINIFS(Follow_Ups!$G:$G,Follow_Ups!$B:$B,A5,Follow_Ups!$H:$H,"&lt;&gt;Completed",Follow_Ups!$G:$G,"&gt;="&amp;TODAY()),""))</f>
        <v/>
      </c>
      <c r="AG5" s="2">
        <f>IF(A5="","",COUNTIF(Activities!$B:$B,A5))</f>
        <v/>
      </c>
      <c r="BG5" s="2">
        <f>IF(COUNTA(BH5:BK5)=0,"",ROUND(AVERAGE(BH5:BK5),0))</f>
        <v/>
      </c>
      <c r="BH5" s="2">
        <f>IF(BL5="","",IF(BL5&gt;=90,"HOT",IF(BL5&gt;=75,"HIGH",IF(BL5&gt;=50,"MEDIUM","LOW"))))</f>
        <v/>
      </c>
      <c r="BL5" s="2">
        <f>IFERROR(BN5/12,"")</f>
        <v/>
      </c>
      <c r="BP5" s="15" t="n"/>
    </row>
    <row r="6">
      <c r="AD6" s="13" t="n"/>
      <c r="AE6" s="13">
        <f>IF(A6="","",IFERROR(MAXIFS(Activities!$D:$D,Activities!$B:$B,A6),""))</f>
        <v/>
      </c>
      <c r="AF6" s="13">
        <f>IF(A6="","",IFERROR(MINIFS(Follow_Ups!$G:$G,Follow_Ups!$B:$B,A6,Follow_Ups!$H:$H,"&lt;&gt;Completed",Follow_Ups!$G:$G,"&gt;="&amp;TODAY()),""))</f>
        <v/>
      </c>
      <c r="AG6" s="2">
        <f>IF(A6="","",COUNTIF(Activities!$B:$B,A6))</f>
        <v/>
      </c>
      <c r="BG6" s="2">
        <f>IF(COUNTA(BH6:BK6)=0,"",ROUND(AVERAGE(BH6:BK6),0))</f>
        <v/>
      </c>
      <c r="BH6" s="2">
        <f>IF(BL6="","",IF(BL6&gt;=90,"HOT",IF(BL6&gt;=75,"HIGH",IF(BL6&gt;=50,"MEDIUM","LOW"))))</f>
        <v/>
      </c>
      <c r="BL6" s="2">
        <f>IFERROR(BN6/12,"")</f>
        <v/>
      </c>
      <c r="BP6" s="15" t="n"/>
    </row>
    <row r="7">
      <c r="AD7" s="13" t="n"/>
      <c r="AE7" s="13">
        <f>IF(A7="","",IFERROR(MAXIFS(Activities!$D:$D,Activities!$B:$B,A7),""))</f>
        <v/>
      </c>
      <c r="AF7" s="13">
        <f>IF(A7="","",IFERROR(MINIFS(Follow_Ups!$G:$G,Follow_Ups!$B:$B,A7,Follow_Ups!$H:$H,"&lt;&gt;Completed",Follow_Ups!$G:$G,"&gt;="&amp;TODAY()),""))</f>
        <v/>
      </c>
      <c r="AG7" s="2">
        <f>IF(A7="","",COUNTIF(Activities!$B:$B,A7))</f>
        <v/>
      </c>
      <c r="BG7" s="2">
        <f>IF(COUNTA(BH7:BK7)=0,"",ROUND(AVERAGE(BH7:BK7),0))</f>
        <v/>
      </c>
      <c r="BH7" s="2">
        <f>IF(BL7="","",IF(BL7&gt;=90,"HOT",IF(BL7&gt;=75,"HIGH",IF(BL7&gt;=50,"MEDIUM","LOW"))))</f>
        <v/>
      </c>
      <c r="BL7" s="2">
        <f>IFERROR(BN7/12,"")</f>
        <v/>
      </c>
      <c r="BP7" s="15" t="n"/>
    </row>
    <row r="8">
      <c r="AD8" s="13" t="n"/>
      <c r="AE8" s="13">
        <f>IF(A8="","",IFERROR(MAXIFS(Activities!$D:$D,Activities!$B:$B,A8),""))</f>
        <v/>
      </c>
      <c r="AF8" s="13">
        <f>IF(A8="","",IFERROR(MINIFS(Follow_Ups!$G:$G,Follow_Ups!$B:$B,A8,Follow_Ups!$H:$H,"&lt;&gt;Completed",Follow_Ups!$G:$G,"&gt;="&amp;TODAY()),""))</f>
        <v/>
      </c>
      <c r="AG8" s="2">
        <f>IF(A8="","",COUNTIF(Activities!$B:$B,A8))</f>
        <v/>
      </c>
      <c r="BG8" s="2">
        <f>IF(COUNTA(BH8:BK8)=0,"",ROUND(AVERAGE(BH8:BK8),0))</f>
        <v/>
      </c>
      <c r="BH8" s="2">
        <f>IF(BL8="","",IF(BL8&gt;=90,"HOT",IF(BL8&gt;=75,"HIGH",IF(BL8&gt;=50,"MEDIUM","LOW"))))</f>
        <v/>
      </c>
      <c r="BL8" s="2">
        <f>IFERROR(BN8/12,"")</f>
        <v/>
      </c>
      <c r="BP8" s="15" t="n"/>
    </row>
    <row r="9">
      <c r="AD9" s="13" t="n"/>
      <c r="AE9" s="13">
        <f>IF(A9="","",IFERROR(MAXIFS(Activities!$D:$D,Activities!$B:$B,A9),""))</f>
        <v/>
      </c>
      <c r="AF9" s="13">
        <f>IF(A9="","",IFERROR(MINIFS(Follow_Ups!$G:$G,Follow_Ups!$B:$B,A9,Follow_Ups!$H:$H,"&lt;&gt;Completed",Follow_Ups!$G:$G,"&gt;="&amp;TODAY()),""))</f>
        <v/>
      </c>
      <c r="AG9" s="2">
        <f>IF(A9="","",COUNTIF(Activities!$B:$B,A9))</f>
        <v/>
      </c>
      <c r="BG9" s="2">
        <f>IF(COUNTA(BH9:BK9)=0,"",ROUND(AVERAGE(BH9:BK9),0))</f>
        <v/>
      </c>
      <c r="BH9" s="2">
        <f>IF(BL9="","",IF(BL9&gt;=90,"HOT",IF(BL9&gt;=75,"HIGH",IF(BL9&gt;=50,"MEDIUM","LOW"))))</f>
        <v/>
      </c>
      <c r="BL9" s="2">
        <f>IFERROR(BN9/12,"")</f>
        <v/>
      </c>
      <c r="BP9" s="15" t="n"/>
    </row>
    <row r="10">
      <c r="AD10" s="13" t="n"/>
      <c r="AE10" s="13">
        <f>IF(A10="","",IFERROR(MAXIFS(Activities!$D:$D,Activities!$B:$B,A10),""))</f>
        <v/>
      </c>
      <c r="AF10" s="13">
        <f>IF(A10="","",IFERROR(MINIFS(Follow_Ups!$G:$G,Follow_Ups!$B:$B,A10,Follow_Ups!$H:$H,"&lt;&gt;Completed",Follow_Ups!$G:$G,"&gt;="&amp;TODAY()),""))</f>
        <v/>
      </c>
      <c r="AG10" s="2">
        <f>IF(A10="","",COUNTIF(Activities!$B:$B,A10))</f>
        <v/>
      </c>
      <c r="BG10" s="2">
        <f>IF(COUNTA(BH10:BK10)=0,"",ROUND(AVERAGE(BH10:BK10),0))</f>
        <v/>
      </c>
      <c r="BH10" s="2">
        <f>IF(BL10="","",IF(BL10&gt;=90,"HOT",IF(BL10&gt;=75,"HIGH",IF(BL10&gt;=50,"MEDIUM","LOW"))))</f>
        <v/>
      </c>
      <c r="BL10" s="2">
        <f>IFERROR(BN10/12,"")</f>
        <v/>
      </c>
      <c r="BP10" s="15" t="n"/>
    </row>
    <row r="11">
      <c r="AD11" s="13" t="n"/>
      <c r="AE11" s="13">
        <f>IF(A11="","",IFERROR(MAXIFS(Activities!$D:$D,Activities!$B:$B,A11),""))</f>
        <v/>
      </c>
      <c r="AF11" s="13">
        <f>IF(A11="","",IFERROR(MINIFS(Follow_Ups!$G:$G,Follow_Ups!$B:$B,A11,Follow_Ups!$H:$H,"&lt;&gt;Completed",Follow_Ups!$G:$G,"&gt;="&amp;TODAY()),""))</f>
        <v/>
      </c>
      <c r="AG11" s="2">
        <f>IF(A11="","",COUNTIF(Activities!$B:$B,A11))</f>
        <v/>
      </c>
      <c r="BG11" s="2">
        <f>IF(COUNTA(BH11:BK11)=0,"",ROUND(AVERAGE(BH11:BK11),0))</f>
        <v/>
      </c>
      <c r="BH11" s="2">
        <f>IF(BL11="","",IF(BL11&gt;=90,"HOT",IF(BL11&gt;=75,"HIGH",IF(BL11&gt;=50,"MEDIUM","LOW"))))</f>
        <v/>
      </c>
      <c r="BL11" s="2">
        <f>IFERROR(BN11/12,"")</f>
        <v/>
      </c>
      <c r="BP11" s="15" t="n"/>
    </row>
    <row r="12">
      <c r="AD12" s="13" t="n"/>
      <c r="AE12" s="13">
        <f>IF(A12="","",IFERROR(MAXIFS(Activities!$D:$D,Activities!$B:$B,A12),""))</f>
        <v/>
      </c>
      <c r="AF12" s="13">
        <f>IF(A12="","",IFERROR(MINIFS(Follow_Ups!$G:$G,Follow_Ups!$B:$B,A12,Follow_Ups!$H:$H,"&lt;&gt;Completed",Follow_Ups!$G:$G,"&gt;="&amp;TODAY()),""))</f>
        <v/>
      </c>
      <c r="AG12" s="2">
        <f>IF(A12="","",COUNTIF(Activities!$B:$B,A12))</f>
        <v/>
      </c>
      <c r="BG12" s="2">
        <f>IF(COUNTA(BH12:BK12)=0,"",ROUND(AVERAGE(BH12:BK12),0))</f>
        <v/>
      </c>
      <c r="BH12" s="2">
        <f>IF(BL12="","",IF(BL12&gt;=90,"HOT",IF(BL12&gt;=75,"HIGH",IF(BL12&gt;=50,"MEDIUM","LOW"))))</f>
        <v/>
      </c>
      <c r="BL12" s="2">
        <f>IFERROR(BN12/12,"")</f>
        <v/>
      </c>
      <c r="BP12" s="15" t="n"/>
    </row>
    <row r="13">
      <c r="AD13" s="13" t="n"/>
      <c r="AE13" s="13">
        <f>IF(A13="","",IFERROR(MAXIFS(Activities!$D:$D,Activities!$B:$B,A13),""))</f>
        <v/>
      </c>
      <c r="AF13" s="13">
        <f>IF(A13="","",IFERROR(MINIFS(Follow_Ups!$G:$G,Follow_Ups!$B:$B,A13,Follow_Ups!$H:$H,"&lt;&gt;Completed",Follow_Ups!$G:$G,"&gt;="&amp;TODAY()),""))</f>
        <v/>
      </c>
      <c r="AG13" s="2">
        <f>IF(A13="","",COUNTIF(Activities!$B:$B,A13))</f>
        <v/>
      </c>
      <c r="BG13" s="2">
        <f>IF(COUNTA(BH13:BK13)=0,"",ROUND(AVERAGE(BH13:BK13),0))</f>
        <v/>
      </c>
      <c r="BH13" s="2">
        <f>IF(BL13="","",IF(BL13&gt;=90,"HOT",IF(BL13&gt;=75,"HIGH",IF(BL13&gt;=50,"MEDIUM","LOW"))))</f>
        <v/>
      </c>
      <c r="BL13" s="2">
        <f>IFERROR(BN13/12,"")</f>
        <v/>
      </c>
      <c r="BP13" s="15" t="n"/>
    </row>
    <row r="14">
      <c r="AD14" s="13" t="n"/>
      <c r="AE14" s="13">
        <f>IF(A14="","",IFERROR(MAXIFS(Activities!$D:$D,Activities!$B:$B,A14),""))</f>
        <v/>
      </c>
      <c r="AF14" s="13">
        <f>IF(A14="","",IFERROR(MINIFS(Follow_Ups!$G:$G,Follow_Ups!$B:$B,A14,Follow_Ups!$H:$H,"&lt;&gt;Completed",Follow_Ups!$G:$G,"&gt;="&amp;TODAY()),""))</f>
        <v/>
      </c>
      <c r="AG14" s="2">
        <f>IF(A14="","",COUNTIF(Activities!$B:$B,A14))</f>
        <v/>
      </c>
      <c r="BG14" s="2">
        <f>IF(COUNTA(BH14:BK14)=0,"",ROUND(AVERAGE(BH14:BK14),0))</f>
        <v/>
      </c>
      <c r="BH14" s="2">
        <f>IF(BL14="","",IF(BL14&gt;=90,"HOT",IF(BL14&gt;=75,"HIGH",IF(BL14&gt;=50,"MEDIUM","LOW"))))</f>
        <v/>
      </c>
      <c r="BL14" s="2">
        <f>IFERROR(BN14/12,"")</f>
        <v/>
      </c>
      <c r="BP14" s="15" t="n"/>
    </row>
    <row r="15">
      <c r="AD15" s="13" t="n"/>
      <c r="AE15" s="13">
        <f>IF(A15="","",IFERROR(MAXIFS(Activities!$D:$D,Activities!$B:$B,A15),""))</f>
        <v/>
      </c>
      <c r="AF15" s="13">
        <f>IF(A15="","",IFERROR(MINIFS(Follow_Ups!$G:$G,Follow_Ups!$B:$B,A15,Follow_Ups!$H:$H,"&lt;&gt;Completed",Follow_Ups!$G:$G,"&gt;="&amp;TODAY()),""))</f>
        <v/>
      </c>
      <c r="AG15" s="2">
        <f>IF(A15="","",COUNTIF(Activities!$B:$B,A15))</f>
        <v/>
      </c>
      <c r="BG15" s="2">
        <f>IF(COUNTA(BH15:BK15)=0,"",ROUND(AVERAGE(BH15:BK15),0))</f>
        <v/>
      </c>
      <c r="BH15" s="2">
        <f>IF(BL15="","",IF(BL15&gt;=90,"HOT",IF(BL15&gt;=75,"HIGH",IF(BL15&gt;=50,"MEDIUM","LOW"))))</f>
        <v/>
      </c>
      <c r="BL15" s="2">
        <f>IFERROR(BN15/12,"")</f>
        <v/>
      </c>
      <c r="BP15" s="15" t="n"/>
    </row>
    <row r="16">
      <c r="AD16" s="13" t="n"/>
      <c r="AE16" s="13">
        <f>IF(A16="","",IFERROR(MAXIFS(Activities!$D:$D,Activities!$B:$B,A16),""))</f>
        <v/>
      </c>
      <c r="AF16" s="13">
        <f>IF(A16="","",IFERROR(MINIFS(Follow_Ups!$G:$G,Follow_Ups!$B:$B,A16,Follow_Ups!$H:$H,"&lt;&gt;Completed",Follow_Ups!$G:$G,"&gt;="&amp;TODAY()),""))</f>
        <v/>
      </c>
      <c r="AG16" s="2">
        <f>IF(A16="","",COUNTIF(Activities!$B:$B,A16))</f>
        <v/>
      </c>
      <c r="BG16" s="2">
        <f>IF(COUNTA(BH16:BK16)=0,"",ROUND(AVERAGE(BH16:BK16),0))</f>
        <v/>
      </c>
      <c r="BH16" s="2">
        <f>IF(BL16="","",IF(BL16&gt;=90,"HOT",IF(BL16&gt;=75,"HIGH",IF(BL16&gt;=50,"MEDIUM","LOW"))))</f>
        <v/>
      </c>
      <c r="BL16" s="2">
        <f>IFERROR(BN16/12,"")</f>
        <v/>
      </c>
      <c r="BP16" s="15" t="n"/>
    </row>
    <row r="17">
      <c r="AD17" s="13" t="n"/>
      <c r="AE17" s="13">
        <f>IF(A17="","",IFERROR(MAXIFS(Activities!$D:$D,Activities!$B:$B,A17),""))</f>
        <v/>
      </c>
      <c r="AF17" s="13">
        <f>IF(A17="","",IFERROR(MINIFS(Follow_Ups!$G:$G,Follow_Ups!$B:$B,A17,Follow_Ups!$H:$H,"&lt;&gt;Completed",Follow_Ups!$G:$G,"&gt;="&amp;TODAY()),""))</f>
        <v/>
      </c>
      <c r="AG17" s="2">
        <f>IF(A17="","",COUNTIF(Activities!$B:$B,A17))</f>
        <v/>
      </c>
      <c r="BG17" s="2">
        <f>IF(COUNTA(BH17:BK17)=0,"",ROUND(AVERAGE(BH17:BK17),0))</f>
        <v/>
      </c>
      <c r="BH17" s="2">
        <f>IF(BL17="","",IF(BL17&gt;=90,"HOT",IF(BL17&gt;=75,"HIGH",IF(BL17&gt;=50,"MEDIUM","LOW"))))</f>
        <v/>
      </c>
      <c r="BL17" s="2">
        <f>IFERROR(BN17/12,"")</f>
        <v/>
      </c>
      <c r="BP17" s="15" t="n"/>
    </row>
    <row r="18">
      <c r="AD18" s="13" t="n"/>
      <c r="AE18" s="13">
        <f>IF(A18="","",IFERROR(MAXIFS(Activities!$D:$D,Activities!$B:$B,A18),""))</f>
        <v/>
      </c>
      <c r="AF18" s="13">
        <f>IF(A18="","",IFERROR(MINIFS(Follow_Ups!$G:$G,Follow_Ups!$B:$B,A18,Follow_Ups!$H:$H,"&lt;&gt;Completed",Follow_Ups!$G:$G,"&gt;="&amp;TODAY()),""))</f>
        <v/>
      </c>
      <c r="AG18" s="2">
        <f>IF(A18="","",COUNTIF(Activities!$B:$B,A18))</f>
        <v/>
      </c>
      <c r="BG18" s="2">
        <f>IF(COUNTA(BH18:BK18)=0,"",ROUND(AVERAGE(BH18:BK18),0))</f>
        <v/>
      </c>
      <c r="BH18" s="2">
        <f>IF(BL18="","",IF(BL18&gt;=90,"HOT",IF(BL18&gt;=75,"HIGH",IF(BL18&gt;=50,"MEDIUM","LOW"))))</f>
        <v/>
      </c>
      <c r="BL18" s="2">
        <f>IFERROR(BN18/12,"")</f>
        <v/>
      </c>
      <c r="BP18" s="15" t="n"/>
    </row>
    <row r="19">
      <c r="AD19" s="13" t="n"/>
      <c r="AE19" s="13">
        <f>IF(A19="","",IFERROR(MAXIFS(Activities!$D:$D,Activities!$B:$B,A19),""))</f>
        <v/>
      </c>
      <c r="AF19" s="13">
        <f>IF(A19="","",IFERROR(MINIFS(Follow_Ups!$G:$G,Follow_Ups!$B:$B,A19,Follow_Ups!$H:$H,"&lt;&gt;Completed",Follow_Ups!$G:$G,"&gt;="&amp;TODAY()),""))</f>
        <v/>
      </c>
      <c r="AG19" s="2">
        <f>IF(A19="","",COUNTIF(Activities!$B:$B,A19))</f>
        <v/>
      </c>
      <c r="BG19" s="2">
        <f>IF(COUNTA(BH19:BK19)=0,"",ROUND(AVERAGE(BH19:BK19),0))</f>
        <v/>
      </c>
      <c r="BH19" s="2">
        <f>IF(BL19="","",IF(BL19&gt;=90,"HOT",IF(BL19&gt;=75,"HIGH",IF(BL19&gt;=50,"MEDIUM","LOW"))))</f>
        <v/>
      </c>
      <c r="BL19" s="2">
        <f>IFERROR(BN19/12,"")</f>
        <v/>
      </c>
      <c r="BP19" s="15" t="n"/>
    </row>
    <row r="20">
      <c r="AD20" s="13" t="n"/>
      <c r="AE20" s="13">
        <f>IF(A20="","",IFERROR(MAXIFS(Activities!$D:$D,Activities!$B:$B,A20),""))</f>
        <v/>
      </c>
      <c r="AF20" s="13">
        <f>IF(A20="","",IFERROR(MINIFS(Follow_Ups!$G:$G,Follow_Ups!$B:$B,A20,Follow_Ups!$H:$H,"&lt;&gt;Completed",Follow_Ups!$G:$G,"&gt;="&amp;TODAY()),""))</f>
        <v/>
      </c>
      <c r="AG20" s="2">
        <f>IF(A20="","",COUNTIF(Activities!$B:$B,A20))</f>
        <v/>
      </c>
      <c r="BG20" s="2">
        <f>IF(COUNTA(BH20:BK20)=0,"",ROUND(AVERAGE(BH20:BK20),0))</f>
        <v/>
      </c>
      <c r="BH20" s="2">
        <f>IF(BL20="","",IF(BL20&gt;=90,"HOT",IF(BL20&gt;=75,"HIGH",IF(BL20&gt;=50,"MEDIUM","LOW"))))</f>
        <v/>
      </c>
      <c r="BL20" s="2">
        <f>IFERROR(BN20/12,"")</f>
        <v/>
      </c>
      <c r="BP20" s="15" t="n"/>
    </row>
    <row r="21" ht="15.75" customHeight="1" s="19">
      <c r="AD21" s="13" t="n"/>
      <c r="AE21" s="13">
        <f>IF(A21="","",IFERROR(MAXIFS(Activities!$D:$D,Activities!$B:$B,A21),""))</f>
        <v/>
      </c>
      <c r="AF21" s="13">
        <f>IF(A21="","",IFERROR(MINIFS(Follow_Ups!$G:$G,Follow_Ups!$B:$B,A21,Follow_Ups!$H:$H,"&lt;&gt;Completed",Follow_Ups!$G:$G,"&gt;="&amp;TODAY()),""))</f>
        <v/>
      </c>
      <c r="AG21" s="2">
        <f>IF(A21="","",COUNTIF(Activities!$B:$B,A21))</f>
        <v/>
      </c>
      <c r="BG21" s="2">
        <f>IF(COUNTA(BH21:BK21)=0,"",ROUND(AVERAGE(BH21:BK21),0))</f>
        <v/>
      </c>
      <c r="BH21" s="2">
        <f>IF(BL21="","",IF(BL21&gt;=90,"HOT",IF(BL21&gt;=75,"HIGH",IF(BL21&gt;=50,"MEDIUM","LOW"))))</f>
        <v/>
      </c>
      <c r="BL21" s="2">
        <f>IFERROR(BN21/12,"")</f>
        <v/>
      </c>
      <c r="BP21" s="15" t="n"/>
    </row>
    <row r="22" ht="15.75" customHeight="1" s="19">
      <c r="AD22" s="13" t="n"/>
      <c r="AE22" s="13">
        <f>IF(A22="","",IFERROR(MAXIFS(Activities!$D:$D,Activities!$B:$B,A22),""))</f>
        <v/>
      </c>
      <c r="AF22" s="13">
        <f>IF(A22="","",IFERROR(MINIFS(Follow_Ups!$G:$G,Follow_Ups!$B:$B,A22,Follow_Ups!$H:$H,"&lt;&gt;Completed",Follow_Ups!$G:$G,"&gt;="&amp;TODAY()),""))</f>
        <v/>
      </c>
      <c r="AG22" s="2">
        <f>IF(A22="","",COUNTIF(Activities!$B:$B,A22))</f>
        <v/>
      </c>
      <c r="BG22" s="2">
        <f>IF(COUNTA(BH22:BK22)=0,"",ROUND(AVERAGE(BH22:BK22),0))</f>
        <v/>
      </c>
      <c r="BH22" s="2">
        <f>IF(BL22="","",IF(BL22&gt;=90,"HOT",IF(BL22&gt;=75,"HIGH",IF(BL22&gt;=50,"MEDIUM","LOW"))))</f>
        <v/>
      </c>
      <c r="BL22" s="2">
        <f>IFERROR(BN22/12,"")</f>
        <v/>
      </c>
      <c r="BP22" s="15" t="n"/>
    </row>
    <row r="23" ht="15.75" customHeight="1" s="19">
      <c r="AD23" s="13" t="n"/>
      <c r="AE23" s="13">
        <f>IF(A23="","",IFERROR(MAXIFS(Activities!$D:$D,Activities!$B:$B,A23),""))</f>
        <v/>
      </c>
      <c r="AF23" s="13">
        <f>IF(A23="","",IFERROR(MINIFS(Follow_Ups!$G:$G,Follow_Ups!$B:$B,A23,Follow_Ups!$H:$H,"&lt;&gt;Completed",Follow_Ups!$G:$G,"&gt;="&amp;TODAY()),""))</f>
        <v/>
      </c>
      <c r="AG23" s="2">
        <f>IF(A23="","",COUNTIF(Activities!$B:$B,A23))</f>
        <v/>
      </c>
      <c r="BG23" s="2">
        <f>IF(COUNTA(BH23:BK23)=0,"",ROUND(AVERAGE(BH23:BK23),0))</f>
        <v/>
      </c>
      <c r="BH23" s="2">
        <f>IF(BL23="","",IF(BL23&gt;=90,"HOT",IF(BL23&gt;=75,"HIGH",IF(BL23&gt;=50,"MEDIUM","LOW"))))</f>
        <v/>
      </c>
      <c r="BL23" s="2">
        <f>IFERROR(BN23/12,"")</f>
        <v/>
      </c>
      <c r="BP23" s="15" t="n"/>
    </row>
    <row r="24" ht="15.75" customHeight="1" s="19">
      <c r="AD24" s="13" t="n"/>
      <c r="AE24" s="13">
        <f>IF(A24="","",IFERROR(MAXIFS(Activities!$D:$D,Activities!$B:$B,A24),""))</f>
        <v/>
      </c>
      <c r="AF24" s="13">
        <f>IF(A24="","",IFERROR(MINIFS(Follow_Ups!$G:$G,Follow_Ups!$B:$B,A24,Follow_Ups!$H:$H,"&lt;&gt;Completed",Follow_Ups!$G:$G,"&gt;="&amp;TODAY()),""))</f>
        <v/>
      </c>
      <c r="AG24" s="2">
        <f>IF(A24="","",COUNTIF(Activities!$B:$B,A24))</f>
        <v/>
      </c>
      <c r="BG24" s="2">
        <f>IF(COUNTA(BH24:BK24)=0,"",ROUND(AVERAGE(BH24:BK24),0))</f>
        <v/>
      </c>
      <c r="BH24" s="2">
        <f>IF(BL24="","",IF(BL24&gt;=90,"HOT",IF(BL24&gt;=75,"HIGH",IF(BL24&gt;=50,"MEDIUM","LOW"))))</f>
        <v/>
      </c>
      <c r="BL24" s="2">
        <f>IFERROR(BN24/12,"")</f>
        <v/>
      </c>
      <c r="BP24" s="15" t="n"/>
    </row>
    <row r="25" ht="15.75" customHeight="1" s="19">
      <c r="AD25" s="13" t="n"/>
      <c r="AE25" s="13">
        <f>IF(A25="","",IFERROR(MAXIFS(Activities!$D:$D,Activities!$B:$B,A25),""))</f>
        <v/>
      </c>
      <c r="AF25" s="13">
        <f>IF(A25="","",IFERROR(MINIFS(Follow_Ups!$G:$G,Follow_Ups!$B:$B,A25,Follow_Ups!$H:$H,"&lt;&gt;Completed",Follow_Ups!$G:$G,"&gt;="&amp;TODAY()),""))</f>
        <v/>
      </c>
      <c r="AG25" s="2">
        <f>IF(A25="","",COUNTIF(Activities!$B:$B,A25))</f>
        <v/>
      </c>
      <c r="BG25" s="2">
        <f>IF(COUNTA(BH25:BK25)=0,"",ROUND(AVERAGE(BH25:BK25),0))</f>
        <v/>
      </c>
      <c r="BH25" s="2">
        <f>IF(BL25="","",IF(BL25&gt;=90,"HOT",IF(BL25&gt;=75,"HIGH",IF(BL25&gt;=50,"MEDIUM","LOW"))))</f>
        <v/>
      </c>
      <c r="BL25" s="2">
        <f>IFERROR(BN25/12,"")</f>
        <v/>
      </c>
      <c r="BP25" s="15" t="n"/>
    </row>
    <row r="26" ht="15.75" customHeight="1" s="19">
      <c r="AD26" s="13" t="n"/>
      <c r="AE26" s="13">
        <f>IF(A26="","",IFERROR(MAXIFS(Activities!$D:$D,Activities!$B:$B,A26),""))</f>
        <v/>
      </c>
      <c r="AF26" s="13">
        <f>IF(A26="","",IFERROR(MINIFS(Follow_Ups!$G:$G,Follow_Ups!$B:$B,A26,Follow_Ups!$H:$H,"&lt;&gt;Completed",Follow_Ups!$G:$G,"&gt;="&amp;TODAY()),""))</f>
        <v/>
      </c>
      <c r="AG26" s="2">
        <f>IF(A26="","",COUNTIF(Activities!$B:$B,A26))</f>
        <v/>
      </c>
      <c r="BG26" s="2">
        <f>IF(COUNTA(BH26:BK26)=0,"",ROUND(AVERAGE(BH26:BK26),0))</f>
        <v/>
      </c>
      <c r="BH26" s="2">
        <f>IF(BL26="","",IF(BL26&gt;=90,"HOT",IF(BL26&gt;=75,"HIGH",IF(BL26&gt;=50,"MEDIUM","LOW"))))</f>
        <v/>
      </c>
      <c r="BL26" s="2">
        <f>IFERROR(BN26/12,"")</f>
        <v/>
      </c>
      <c r="BP26" s="15" t="n"/>
    </row>
    <row r="27" ht="15.75" customHeight="1" s="19">
      <c r="AD27" s="13" t="n"/>
      <c r="AE27" s="13">
        <f>IF(A27="","",IFERROR(MAXIFS(Activities!$D:$D,Activities!$B:$B,A27),""))</f>
        <v/>
      </c>
      <c r="AF27" s="13">
        <f>IF(A27="","",IFERROR(MINIFS(Follow_Ups!$G:$G,Follow_Ups!$B:$B,A27,Follow_Ups!$H:$H,"&lt;&gt;Completed",Follow_Ups!$G:$G,"&gt;="&amp;TODAY()),""))</f>
        <v/>
      </c>
      <c r="AG27" s="2">
        <f>IF(A27="","",COUNTIF(Activities!$B:$B,A27))</f>
        <v/>
      </c>
      <c r="BG27" s="2">
        <f>IF(COUNTA(BH27:BK27)=0,"",ROUND(AVERAGE(BH27:BK27),0))</f>
        <v/>
      </c>
      <c r="BH27" s="2">
        <f>IF(BL27="","",IF(BL27&gt;=90,"HOT",IF(BL27&gt;=75,"HIGH",IF(BL27&gt;=50,"MEDIUM","LOW"))))</f>
        <v/>
      </c>
      <c r="BL27" s="2">
        <f>IFERROR(BN27/12,"")</f>
        <v/>
      </c>
      <c r="BP27" s="15" t="n"/>
    </row>
    <row r="28" ht="15.75" customHeight="1" s="19">
      <c r="AD28" s="13" t="n"/>
      <c r="AE28" s="13">
        <f>IF(A28="","",IFERROR(MAXIFS(Activities!$D:$D,Activities!$B:$B,A28),""))</f>
        <v/>
      </c>
      <c r="AF28" s="13">
        <f>IF(A28="","",IFERROR(MINIFS(Follow_Ups!$G:$G,Follow_Ups!$B:$B,A28,Follow_Ups!$H:$H,"&lt;&gt;Completed",Follow_Ups!$G:$G,"&gt;="&amp;TODAY()),""))</f>
        <v/>
      </c>
      <c r="AG28" s="2">
        <f>IF(A28="","",COUNTIF(Activities!$B:$B,A28))</f>
        <v/>
      </c>
      <c r="BG28" s="2">
        <f>IF(COUNTA(BH28:BK28)=0,"",ROUND(AVERAGE(BH28:BK28),0))</f>
        <v/>
      </c>
      <c r="BH28" s="2">
        <f>IF(BL28="","",IF(BL28&gt;=90,"HOT",IF(BL28&gt;=75,"HIGH",IF(BL28&gt;=50,"MEDIUM","LOW"))))</f>
        <v/>
      </c>
      <c r="BL28" s="2">
        <f>IFERROR(BN28/12,"")</f>
        <v/>
      </c>
      <c r="BP28" s="15" t="n"/>
    </row>
    <row r="29" ht="15.75" customHeight="1" s="19">
      <c r="AD29" s="13" t="n"/>
      <c r="AE29" s="13">
        <f>IF(A29="","",IFERROR(MAXIFS(Activities!$D:$D,Activities!$B:$B,A29),""))</f>
        <v/>
      </c>
      <c r="AF29" s="13">
        <f>IF(A29="","",IFERROR(MINIFS(Follow_Ups!$G:$G,Follow_Ups!$B:$B,A29,Follow_Ups!$H:$H,"&lt;&gt;Completed",Follow_Ups!$G:$G,"&gt;="&amp;TODAY()),""))</f>
        <v/>
      </c>
      <c r="AG29" s="2">
        <f>IF(A29="","",COUNTIF(Activities!$B:$B,A29))</f>
        <v/>
      </c>
      <c r="BG29" s="2">
        <f>IF(COUNTA(BH29:BK29)=0,"",ROUND(AVERAGE(BH29:BK29),0))</f>
        <v/>
      </c>
      <c r="BH29" s="2">
        <f>IF(BL29="","",IF(BL29&gt;=90,"HOT",IF(BL29&gt;=75,"HIGH",IF(BL29&gt;=50,"MEDIUM","LOW"))))</f>
        <v/>
      </c>
      <c r="BL29" s="2">
        <f>IFERROR(BN29/12,"")</f>
        <v/>
      </c>
      <c r="BP29" s="15" t="n"/>
    </row>
    <row r="30" ht="15.75" customHeight="1" s="19">
      <c r="AD30" s="13" t="n"/>
      <c r="AE30" s="13">
        <f>IF(A30="","",IFERROR(MAXIFS(Activities!$D:$D,Activities!$B:$B,A30),""))</f>
        <v/>
      </c>
      <c r="AF30" s="13">
        <f>IF(A30="","",IFERROR(MINIFS(Follow_Ups!$G:$G,Follow_Ups!$B:$B,A30,Follow_Ups!$H:$H,"&lt;&gt;Completed",Follow_Ups!$G:$G,"&gt;="&amp;TODAY()),""))</f>
        <v/>
      </c>
      <c r="AG30" s="2">
        <f>IF(A30="","",COUNTIF(Activities!$B:$B,A30))</f>
        <v/>
      </c>
      <c r="BG30" s="2">
        <f>IF(COUNTA(BH30:BK30)=0,"",ROUND(AVERAGE(BH30:BK30),0))</f>
        <v/>
      </c>
      <c r="BH30" s="2">
        <f>IF(BL30="","",IF(BL30&gt;=90,"HOT",IF(BL30&gt;=75,"HIGH",IF(BL30&gt;=50,"MEDIUM","LOW"))))</f>
        <v/>
      </c>
      <c r="BL30" s="2">
        <f>IFERROR(BN30/12,"")</f>
        <v/>
      </c>
      <c r="BP30" s="15" t="n"/>
    </row>
    <row r="31" ht="15.75" customHeight="1" s="19">
      <c r="AD31" s="13" t="n"/>
      <c r="AE31" s="13">
        <f>IF(A31="","",IFERROR(MAXIFS(Activities!$D:$D,Activities!$B:$B,A31),""))</f>
        <v/>
      </c>
      <c r="AF31" s="13">
        <f>IF(A31="","",IFERROR(MINIFS(Follow_Ups!$G:$G,Follow_Ups!$B:$B,A31,Follow_Ups!$H:$H,"&lt;&gt;Completed",Follow_Ups!$G:$G,"&gt;="&amp;TODAY()),""))</f>
        <v/>
      </c>
      <c r="AG31" s="2">
        <f>IF(A31="","",COUNTIF(Activities!$B:$B,A31))</f>
        <v/>
      </c>
      <c r="BG31" s="2">
        <f>IF(COUNTA(BH31:BK31)=0,"",ROUND(AVERAGE(BH31:BK31),0))</f>
        <v/>
      </c>
      <c r="BH31" s="2">
        <f>IF(BL31="","",IF(BL31&gt;=90,"HOT",IF(BL31&gt;=75,"HIGH",IF(BL31&gt;=50,"MEDIUM","LOW"))))</f>
        <v/>
      </c>
      <c r="BL31" s="2">
        <f>IFERROR(BN31/12,"")</f>
        <v/>
      </c>
      <c r="BP31" s="15" t="n"/>
    </row>
    <row r="32" ht="15.75" customHeight="1" s="19">
      <c r="AD32" s="13" t="n"/>
      <c r="AE32" s="13">
        <f>IF(A32="","",IFERROR(MAXIFS(Activities!$D:$D,Activities!$B:$B,A32),""))</f>
        <v/>
      </c>
      <c r="AF32" s="13">
        <f>IF(A32="","",IFERROR(MINIFS(Follow_Ups!$G:$G,Follow_Ups!$B:$B,A32,Follow_Ups!$H:$H,"&lt;&gt;Completed",Follow_Ups!$G:$G,"&gt;="&amp;TODAY()),""))</f>
        <v/>
      </c>
      <c r="AG32" s="2">
        <f>IF(A32="","",COUNTIF(Activities!$B:$B,A32))</f>
        <v/>
      </c>
      <c r="BG32" s="2">
        <f>IF(COUNTA(BH32:BK32)=0,"",ROUND(AVERAGE(BH32:BK32),0))</f>
        <v/>
      </c>
      <c r="BH32" s="2">
        <f>IF(BL32="","",IF(BL32&gt;=90,"HOT",IF(BL32&gt;=75,"HIGH",IF(BL32&gt;=50,"MEDIUM","LOW"))))</f>
        <v/>
      </c>
      <c r="BL32" s="2">
        <f>IFERROR(BN32/12,"")</f>
        <v/>
      </c>
      <c r="BP32" s="15" t="n"/>
    </row>
    <row r="33" ht="15.75" customHeight="1" s="19">
      <c r="AD33" s="13" t="n"/>
      <c r="AE33" s="13">
        <f>IF(A33="","",IFERROR(MAXIFS(Activities!$D:$D,Activities!$B:$B,A33),""))</f>
        <v/>
      </c>
      <c r="AF33" s="13">
        <f>IF(A33="","",IFERROR(MINIFS(Follow_Ups!$G:$G,Follow_Ups!$B:$B,A33,Follow_Ups!$H:$H,"&lt;&gt;Completed",Follow_Ups!$G:$G,"&gt;="&amp;TODAY()),""))</f>
        <v/>
      </c>
      <c r="AG33" s="2">
        <f>IF(A33="","",COUNTIF(Activities!$B:$B,A33))</f>
        <v/>
      </c>
      <c r="BG33" s="2">
        <f>IF(COUNTA(BH33:BK33)=0,"",ROUND(AVERAGE(BH33:BK33),0))</f>
        <v/>
      </c>
      <c r="BH33" s="2">
        <f>IF(BL33="","",IF(BL33&gt;=90,"HOT",IF(BL33&gt;=75,"HIGH",IF(BL33&gt;=50,"MEDIUM","LOW"))))</f>
        <v/>
      </c>
      <c r="BL33" s="2">
        <f>IFERROR(BN33/12,"")</f>
        <v/>
      </c>
      <c r="BP33" s="15" t="n"/>
    </row>
    <row r="34" ht="15.75" customHeight="1" s="19">
      <c r="AD34" s="13" t="n"/>
      <c r="AE34" s="13">
        <f>IF(A34="","",IFERROR(MAXIFS(Activities!$D:$D,Activities!$B:$B,A34),""))</f>
        <v/>
      </c>
      <c r="AF34" s="13">
        <f>IF(A34="","",IFERROR(MINIFS(Follow_Ups!$G:$G,Follow_Ups!$B:$B,A34,Follow_Ups!$H:$H,"&lt;&gt;Completed",Follow_Ups!$G:$G,"&gt;="&amp;TODAY()),""))</f>
        <v/>
      </c>
      <c r="AG34" s="2">
        <f>IF(A34="","",COUNTIF(Activities!$B:$B,A34))</f>
        <v/>
      </c>
      <c r="BG34" s="2">
        <f>IF(COUNTA(BH34:BK34)=0,"",ROUND(AVERAGE(BH34:BK34),0))</f>
        <v/>
      </c>
      <c r="BH34" s="2">
        <f>IF(BL34="","",IF(BL34&gt;=90,"HOT",IF(BL34&gt;=75,"HIGH",IF(BL34&gt;=50,"MEDIUM","LOW"))))</f>
        <v/>
      </c>
      <c r="BL34" s="2">
        <f>IFERROR(BN34/12,"")</f>
        <v/>
      </c>
      <c r="BP34" s="15" t="n"/>
    </row>
    <row r="35" ht="15.75" customHeight="1" s="19">
      <c r="AD35" s="13" t="n"/>
      <c r="AE35" s="13">
        <f>IF(A35="","",IFERROR(MAXIFS(Activities!$D:$D,Activities!$B:$B,A35),""))</f>
        <v/>
      </c>
      <c r="AF35" s="13">
        <f>IF(A35="","",IFERROR(MINIFS(Follow_Ups!$G:$G,Follow_Ups!$B:$B,A35,Follow_Ups!$H:$H,"&lt;&gt;Completed",Follow_Ups!$G:$G,"&gt;="&amp;TODAY()),""))</f>
        <v/>
      </c>
      <c r="AG35" s="2">
        <f>IF(A35="","",COUNTIF(Activities!$B:$B,A35))</f>
        <v/>
      </c>
      <c r="BG35" s="2">
        <f>IF(COUNTA(BH35:BK35)=0,"",ROUND(AVERAGE(BH35:BK35),0))</f>
        <v/>
      </c>
      <c r="BH35" s="2">
        <f>IF(BL35="","",IF(BL35&gt;=90,"HOT",IF(BL35&gt;=75,"HIGH",IF(BL35&gt;=50,"MEDIUM","LOW"))))</f>
        <v/>
      </c>
      <c r="BL35" s="2">
        <f>IFERROR(BN35/12,"")</f>
        <v/>
      </c>
      <c r="BP35" s="15" t="n"/>
    </row>
    <row r="36" ht="15.75" customHeight="1" s="19">
      <c r="AD36" s="13" t="n"/>
      <c r="AE36" s="13">
        <f>IF(A36="","",IFERROR(MAXIFS(Activities!$D:$D,Activities!$B:$B,A36),""))</f>
        <v/>
      </c>
      <c r="AF36" s="13">
        <f>IF(A36="","",IFERROR(MINIFS(Follow_Ups!$G:$G,Follow_Ups!$B:$B,A36,Follow_Ups!$H:$H,"&lt;&gt;Completed",Follow_Ups!$G:$G,"&gt;="&amp;TODAY()),""))</f>
        <v/>
      </c>
      <c r="AG36" s="2">
        <f>IF(A36="","",COUNTIF(Activities!$B:$B,A36))</f>
        <v/>
      </c>
      <c r="BG36" s="2">
        <f>IF(COUNTA(BH36:BK36)=0,"",ROUND(AVERAGE(BH36:BK36),0))</f>
        <v/>
      </c>
      <c r="BH36" s="2">
        <f>IF(BL36="","",IF(BL36&gt;=90,"HOT",IF(BL36&gt;=75,"HIGH",IF(BL36&gt;=50,"MEDIUM","LOW"))))</f>
        <v/>
      </c>
      <c r="BL36" s="2">
        <f>IFERROR(BN36/12,"")</f>
        <v/>
      </c>
      <c r="BP36" s="15" t="n"/>
    </row>
    <row r="37" ht="15.75" customHeight="1" s="19">
      <c r="AD37" s="13" t="n"/>
      <c r="AE37" s="13">
        <f>IF(A37="","",IFERROR(MAXIFS(Activities!$D:$D,Activities!$B:$B,A37),""))</f>
        <v/>
      </c>
      <c r="AF37" s="13">
        <f>IF(A37="","",IFERROR(MINIFS(Follow_Ups!$G:$G,Follow_Ups!$B:$B,A37,Follow_Ups!$H:$H,"&lt;&gt;Completed",Follow_Ups!$G:$G,"&gt;="&amp;TODAY()),""))</f>
        <v/>
      </c>
      <c r="AG37" s="2">
        <f>IF(A37="","",COUNTIF(Activities!$B:$B,A37))</f>
        <v/>
      </c>
      <c r="BG37" s="2">
        <f>IF(COUNTA(BH37:BK37)=0,"",ROUND(AVERAGE(BH37:BK37),0))</f>
        <v/>
      </c>
      <c r="BH37" s="2">
        <f>IF(BL37="","",IF(BL37&gt;=90,"HOT",IF(BL37&gt;=75,"HIGH",IF(BL37&gt;=50,"MEDIUM","LOW"))))</f>
        <v/>
      </c>
      <c r="BL37" s="2">
        <f>IFERROR(BN37/12,"")</f>
        <v/>
      </c>
      <c r="BP37" s="15" t="n"/>
    </row>
    <row r="38" ht="15.75" customHeight="1" s="19">
      <c r="AD38" s="13" t="n"/>
      <c r="AE38" s="13">
        <f>IF(A38="","",IFERROR(MAXIFS(Activities!$D:$D,Activities!$B:$B,A38),""))</f>
        <v/>
      </c>
      <c r="AF38" s="13">
        <f>IF(A38="","",IFERROR(MINIFS(Follow_Ups!$G:$G,Follow_Ups!$B:$B,A38,Follow_Ups!$H:$H,"&lt;&gt;Completed",Follow_Ups!$G:$G,"&gt;="&amp;TODAY()),""))</f>
        <v/>
      </c>
      <c r="AG38" s="2">
        <f>IF(A38="","",COUNTIF(Activities!$B:$B,A38))</f>
        <v/>
      </c>
      <c r="BG38" s="2">
        <f>IF(COUNTA(BH38:BK38)=0,"",ROUND(AVERAGE(BH38:BK38),0))</f>
        <v/>
      </c>
      <c r="BH38" s="2">
        <f>IF(BL38="","",IF(BL38&gt;=90,"HOT",IF(BL38&gt;=75,"HIGH",IF(BL38&gt;=50,"MEDIUM","LOW"))))</f>
        <v/>
      </c>
      <c r="BL38" s="2">
        <f>IFERROR(BN38/12,"")</f>
        <v/>
      </c>
      <c r="BP38" s="15" t="n"/>
    </row>
    <row r="39" ht="15.75" customHeight="1" s="19">
      <c r="AD39" s="13" t="n"/>
      <c r="AE39" s="13">
        <f>IF(A39="","",IFERROR(MAXIFS(Activities!$D:$D,Activities!$B:$B,A39),""))</f>
        <v/>
      </c>
      <c r="AF39" s="13">
        <f>IF(A39="","",IFERROR(MINIFS(Follow_Ups!$G:$G,Follow_Ups!$B:$B,A39,Follow_Ups!$H:$H,"&lt;&gt;Completed",Follow_Ups!$G:$G,"&gt;="&amp;TODAY()),""))</f>
        <v/>
      </c>
      <c r="AG39" s="2">
        <f>IF(A39="","",COUNTIF(Activities!$B:$B,A39))</f>
        <v/>
      </c>
      <c r="BG39" s="2">
        <f>IF(COUNTA(BH39:BK39)=0,"",ROUND(AVERAGE(BH39:BK39),0))</f>
        <v/>
      </c>
      <c r="BH39" s="2">
        <f>IF(BL39="","",IF(BL39&gt;=90,"HOT",IF(BL39&gt;=75,"HIGH",IF(BL39&gt;=50,"MEDIUM","LOW"))))</f>
        <v/>
      </c>
      <c r="BL39" s="2">
        <f>IFERROR(BN39/12,"")</f>
        <v/>
      </c>
      <c r="BP39" s="15" t="n"/>
    </row>
    <row r="40" ht="15.75" customHeight="1" s="19">
      <c r="AD40" s="13" t="n"/>
      <c r="AE40" s="13">
        <f>IF(A40="","",IFERROR(MAXIFS(Activities!$D:$D,Activities!$B:$B,A40),""))</f>
        <v/>
      </c>
      <c r="AF40" s="13">
        <f>IF(A40="","",IFERROR(MINIFS(Follow_Ups!$G:$G,Follow_Ups!$B:$B,A40,Follow_Ups!$H:$H,"&lt;&gt;Completed",Follow_Ups!$G:$G,"&gt;="&amp;TODAY()),""))</f>
        <v/>
      </c>
      <c r="AG40" s="2">
        <f>IF(A40="","",COUNTIF(Activities!$B:$B,A40))</f>
        <v/>
      </c>
      <c r="BG40" s="2">
        <f>IF(COUNTA(BH40:BK40)=0,"",ROUND(AVERAGE(BH40:BK40),0))</f>
        <v/>
      </c>
      <c r="BH40" s="2">
        <f>IF(BL40="","",IF(BL40&gt;=90,"HOT",IF(BL40&gt;=75,"HIGH",IF(BL40&gt;=50,"MEDIUM","LOW"))))</f>
        <v/>
      </c>
      <c r="BL40" s="2">
        <f>IFERROR(BN40/12,"")</f>
        <v/>
      </c>
      <c r="BP40" s="15" t="n"/>
    </row>
    <row r="41" ht="15.75" customHeight="1" s="19">
      <c r="AD41" s="13" t="n"/>
      <c r="AE41" s="13">
        <f>IF(A41="","",IFERROR(MAXIFS(Activities!$D:$D,Activities!$B:$B,A41),""))</f>
        <v/>
      </c>
      <c r="AF41" s="13">
        <f>IF(A41="","",IFERROR(MINIFS(Follow_Ups!$G:$G,Follow_Ups!$B:$B,A41,Follow_Ups!$H:$H,"&lt;&gt;Completed",Follow_Ups!$G:$G,"&gt;="&amp;TODAY()),""))</f>
        <v/>
      </c>
      <c r="AG41" s="2">
        <f>IF(A41="","",COUNTIF(Activities!$B:$B,A41))</f>
        <v/>
      </c>
      <c r="BG41" s="2">
        <f>IF(COUNTA(BH41:BK41)=0,"",ROUND(AVERAGE(BH41:BK41),0))</f>
        <v/>
      </c>
      <c r="BH41" s="2">
        <f>IF(BL41="","",IF(BL41&gt;=90,"HOT",IF(BL41&gt;=75,"HIGH",IF(BL41&gt;=50,"MEDIUM","LOW"))))</f>
        <v/>
      </c>
      <c r="BL41" s="2">
        <f>IFERROR(BN41/12,"")</f>
        <v/>
      </c>
      <c r="BP41" s="15" t="n"/>
    </row>
    <row r="42" ht="15.75" customHeight="1" s="19">
      <c r="AD42" s="13" t="n"/>
      <c r="AE42" s="13">
        <f>IF(A42="","",IFERROR(MAXIFS(Activities!$D:$D,Activities!$B:$B,A42),""))</f>
        <v/>
      </c>
      <c r="AF42" s="13">
        <f>IF(A42="","",IFERROR(MINIFS(Follow_Ups!$G:$G,Follow_Ups!$B:$B,A42,Follow_Ups!$H:$H,"&lt;&gt;Completed",Follow_Ups!$G:$G,"&gt;="&amp;TODAY()),""))</f>
        <v/>
      </c>
      <c r="AG42" s="2">
        <f>IF(A42="","",COUNTIF(Activities!$B:$B,A42))</f>
        <v/>
      </c>
      <c r="BG42" s="2">
        <f>IF(COUNTA(BH42:BK42)=0,"",ROUND(AVERAGE(BH42:BK42),0))</f>
        <v/>
      </c>
      <c r="BH42" s="2">
        <f>IF(BL42="","",IF(BL42&gt;=90,"HOT",IF(BL42&gt;=75,"HIGH",IF(BL42&gt;=50,"MEDIUM","LOW"))))</f>
        <v/>
      </c>
      <c r="BL42" s="2">
        <f>IFERROR(BN42/12,"")</f>
        <v/>
      </c>
      <c r="BP42" s="15" t="n"/>
    </row>
    <row r="43" ht="15.75" customHeight="1" s="19">
      <c r="AD43" s="13" t="n"/>
      <c r="AE43" s="13">
        <f>IF(A43="","",IFERROR(MAXIFS(Activities!$D:$D,Activities!$B:$B,A43),""))</f>
        <v/>
      </c>
      <c r="AF43" s="13">
        <f>IF(A43="","",IFERROR(MINIFS(Follow_Ups!$G:$G,Follow_Ups!$B:$B,A43,Follow_Ups!$H:$H,"&lt;&gt;Completed",Follow_Ups!$G:$G,"&gt;="&amp;TODAY()),""))</f>
        <v/>
      </c>
      <c r="AG43" s="2">
        <f>IF(A43="","",COUNTIF(Activities!$B:$B,A43))</f>
        <v/>
      </c>
      <c r="BG43" s="2">
        <f>IF(COUNTA(BH43:BK43)=0,"",ROUND(AVERAGE(BH43:BK43),0))</f>
        <v/>
      </c>
      <c r="BH43" s="2">
        <f>IF(BL43="","",IF(BL43&gt;=90,"HOT",IF(BL43&gt;=75,"HIGH",IF(BL43&gt;=50,"MEDIUM","LOW"))))</f>
        <v/>
      </c>
      <c r="BL43" s="2">
        <f>IFERROR(BN43/12,"")</f>
        <v/>
      </c>
      <c r="BP43" s="15" t="n"/>
    </row>
    <row r="44" ht="15.75" customHeight="1" s="19">
      <c r="AD44" s="13" t="n"/>
      <c r="AE44" s="13">
        <f>IF(A44="","",IFERROR(MAXIFS(Activities!$D:$D,Activities!$B:$B,A44),""))</f>
        <v/>
      </c>
      <c r="AF44" s="13">
        <f>IF(A44="","",IFERROR(MINIFS(Follow_Ups!$G:$G,Follow_Ups!$B:$B,A44,Follow_Ups!$H:$H,"&lt;&gt;Completed",Follow_Ups!$G:$G,"&gt;="&amp;TODAY()),""))</f>
        <v/>
      </c>
      <c r="AG44" s="2">
        <f>IF(A44="","",COUNTIF(Activities!$B:$B,A44))</f>
        <v/>
      </c>
      <c r="BG44" s="2">
        <f>IF(COUNTA(BH44:BK44)=0,"",ROUND(AVERAGE(BH44:BK44),0))</f>
        <v/>
      </c>
      <c r="BH44" s="2">
        <f>IF(BL44="","",IF(BL44&gt;=90,"HOT",IF(BL44&gt;=75,"HIGH",IF(BL44&gt;=50,"MEDIUM","LOW"))))</f>
        <v/>
      </c>
      <c r="BL44" s="2">
        <f>IFERROR(BN44/12,"")</f>
        <v/>
      </c>
      <c r="BP44" s="15" t="n"/>
    </row>
    <row r="45" ht="15.75" customHeight="1" s="19">
      <c r="AD45" s="13" t="n"/>
      <c r="AE45" s="13">
        <f>IF(A45="","",IFERROR(MAXIFS(Activities!$D:$D,Activities!$B:$B,A45),""))</f>
        <v/>
      </c>
      <c r="AF45" s="13">
        <f>IF(A45="","",IFERROR(MINIFS(Follow_Ups!$G:$G,Follow_Ups!$B:$B,A45,Follow_Ups!$H:$H,"&lt;&gt;Completed",Follow_Ups!$G:$G,"&gt;="&amp;TODAY()),""))</f>
        <v/>
      </c>
      <c r="AG45" s="2">
        <f>IF(A45="","",COUNTIF(Activities!$B:$B,A45))</f>
        <v/>
      </c>
      <c r="BG45" s="2">
        <f>IF(COUNTA(BH45:BK45)=0,"",ROUND(AVERAGE(BH45:BK45),0))</f>
        <v/>
      </c>
      <c r="BH45" s="2">
        <f>IF(BL45="","",IF(BL45&gt;=90,"HOT",IF(BL45&gt;=75,"HIGH",IF(BL45&gt;=50,"MEDIUM","LOW"))))</f>
        <v/>
      </c>
      <c r="BL45" s="2">
        <f>IFERROR(BN45/12,"")</f>
        <v/>
      </c>
      <c r="BP45" s="15" t="n"/>
    </row>
    <row r="46" ht="15.75" customHeight="1" s="19">
      <c r="AD46" s="13" t="n"/>
      <c r="AE46" s="13">
        <f>IF(A46="","",IFERROR(MAXIFS(Activities!$D:$D,Activities!$B:$B,A46),""))</f>
        <v/>
      </c>
      <c r="AF46" s="13">
        <f>IF(A46="","",IFERROR(MINIFS(Follow_Ups!$G:$G,Follow_Ups!$B:$B,A46,Follow_Ups!$H:$H,"&lt;&gt;Completed",Follow_Ups!$G:$G,"&gt;="&amp;TODAY()),""))</f>
        <v/>
      </c>
      <c r="AG46" s="2">
        <f>IF(A46="","",COUNTIF(Activities!$B:$B,A46))</f>
        <v/>
      </c>
      <c r="BG46" s="2">
        <f>IF(COUNTA(BH46:BK46)=0,"",ROUND(AVERAGE(BH46:BK46),0))</f>
        <v/>
      </c>
      <c r="BH46" s="2">
        <f>IF(BL46="","",IF(BL46&gt;=90,"HOT",IF(BL46&gt;=75,"HIGH",IF(BL46&gt;=50,"MEDIUM","LOW"))))</f>
        <v/>
      </c>
      <c r="BL46" s="2">
        <f>IFERROR(BN46/12,"")</f>
        <v/>
      </c>
      <c r="BP46" s="15" t="n"/>
    </row>
    <row r="47" ht="15.75" customHeight="1" s="19">
      <c r="AD47" s="13" t="n"/>
      <c r="AE47" s="13">
        <f>IF(A47="","",IFERROR(MAXIFS(Activities!$D:$D,Activities!$B:$B,A47),""))</f>
        <v/>
      </c>
      <c r="AF47" s="13">
        <f>IF(A47="","",IFERROR(MINIFS(Follow_Ups!$G:$G,Follow_Ups!$B:$B,A47,Follow_Ups!$H:$H,"&lt;&gt;Completed",Follow_Ups!$G:$G,"&gt;="&amp;TODAY()),""))</f>
        <v/>
      </c>
      <c r="AG47" s="2">
        <f>IF(A47="","",COUNTIF(Activities!$B:$B,A47))</f>
        <v/>
      </c>
      <c r="BG47" s="2">
        <f>IF(COUNTA(BH47:BK47)=0,"",ROUND(AVERAGE(BH47:BK47),0))</f>
        <v/>
      </c>
      <c r="BH47" s="2">
        <f>IF(BL47="","",IF(BL47&gt;=90,"HOT",IF(BL47&gt;=75,"HIGH",IF(BL47&gt;=50,"MEDIUM","LOW"))))</f>
        <v/>
      </c>
      <c r="BL47" s="2">
        <f>IFERROR(BN47/12,"")</f>
        <v/>
      </c>
      <c r="BP47" s="15" t="n"/>
    </row>
    <row r="48" ht="15.75" customHeight="1" s="19">
      <c r="AD48" s="13" t="n"/>
      <c r="AE48" s="13">
        <f>IF(A48="","",IFERROR(MAXIFS(Activities!$D:$D,Activities!$B:$B,A48),""))</f>
        <v/>
      </c>
      <c r="AF48" s="13">
        <f>IF(A48="","",IFERROR(MINIFS(Follow_Ups!$G:$G,Follow_Ups!$B:$B,A48,Follow_Ups!$H:$H,"&lt;&gt;Completed",Follow_Ups!$G:$G,"&gt;="&amp;TODAY()),""))</f>
        <v/>
      </c>
      <c r="AG48" s="2">
        <f>IF(A48="","",COUNTIF(Activities!$B:$B,A48))</f>
        <v/>
      </c>
      <c r="BG48" s="2">
        <f>IF(COUNTA(BH48:BK48)=0,"",ROUND(AVERAGE(BH48:BK48),0))</f>
        <v/>
      </c>
      <c r="BH48" s="2">
        <f>IF(BL48="","",IF(BL48&gt;=90,"HOT",IF(BL48&gt;=75,"HIGH",IF(BL48&gt;=50,"MEDIUM","LOW"))))</f>
        <v/>
      </c>
      <c r="BL48" s="2">
        <f>IFERROR(BN48/12,"")</f>
        <v/>
      </c>
      <c r="BP48" s="15" t="n"/>
    </row>
    <row r="49" ht="15.75" customHeight="1" s="19">
      <c r="AD49" s="13" t="n"/>
      <c r="AE49" s="13">
        <f>IF(A49="","",IFERROR(MAXIFS(Activities!$D:$D,Activities!$B:$B,A49),""))</f>
        <v/>
      </c>
      <c r="AF49" s="13">
        <f>IF(A49="","",IFERROR(MINIFS(Follow_Ups!$G:$G,Follow_Ups!$B:$B,A49,Follow_Ups!$H:$H,"&lt;&gt;Completed",Follow_Ups!$G:$G,"&gt;="&amp;TODAY()),""))</f>
        <v/>
      </c>
      <c r="AG49" s="2">
        <f>IF(A49="","",COUNTIF(Activities!$B:$B,A49))</f>
        <v/>
      </c>
      <c r="BG49" s="2">
        <f>IF(COUNTA(BH49:BK49)=0,"",ROUND(AVERAGE(BH49:BK49),0))</f>
        <v/>
      </c>
      <c r="BH49" s="2">
        <f>IF(BL49="","",IF(BL49&gt;=90,"HOT",IF(BL49&gt;=75,"HIGH",IF(BL49&gt;=50,"MEDIUM","LOW"))))</f>
        <v/>
      </c>
      <c r="BL49" s="2">
        <f>IFERROR(BN49/12,"")</f>
        <v/>
      </c>
      <c r="BP49" s="15" t="n"/>
    </row>
    <row r="50" ht="15.75" customHeight="1" s="19">
      <c r="AD50" s="13" t="n"/>
      <c r="AE50" s="13">
        <f>IF(A50="","",IFERROR(MAXIFS(Activities!$D:$D,Activities!$B:$B,A50),""))</f>
        <v/>
      </c>
      <c r="AF50" s="13">
        <f>IF(A50="","",IFERROR(MINIFS(Follow_Ups!$G:$G,Follow_Ups!$B:$B,A50,Follow_Ups!$H:$H,"&lt;&gt;Completed",Follow_Ups!$G:$G,"&gt;="&amp;TODAY()),""))</f>
        <v/>
      </c>
      <c r="AG50" s="2">
        <f>IF(A50="","",COUNTIF(Activities!$B:$B,A50))</f>
        <v/>
      </c>
      <c r="BG50" s="2">
        <f>IF(COUNTA(BH50:BK50)=0,"",ROUND(AVERAGE(BH50:BK50),0))</f>
        <v/>
      </c>
      <c r="BH50" s="2">
        <f>IF(BL50="","",IF(BL50&gt;=90,"HOT",IF(BL50&gt;=75,"HIGH",IF(BL50&gt;=50,"MEDIUM","LOW"))))</f>
        <v/>
      </c>
      <c r="BL50" s="2">
        <f>IFERROR(BN50/12,"")</f>
        <v/>
      </c>
      <c r="BP50" s="15" t="n"/>
    </row>
    <row r="51" ht="15.75" customHeight="1" s="19">
      <c r="AD51" s="13" t="n"/>
      <c r="AE51" s="13">
        <f>IF(A51="","",IFERROR(MAXIFS(Activities!$D:$D,Activities!$B:$B,A51),""))</f>
        <v/>
      </c>
      <c r="AF51" s="13">
        <f>IF(A51="","",IFERROR(MINIFS(Follow_Ups!$G:$G,Follow_Ups!$B:$B,A51,Follow_Ups!$H:$H,"&lt;&gt;Completed",Follow_Ups!$G:$G,"&gt;="&amp;TODAY()),""))</f>
        <v/>
      </c>
      <c r="AG51" s="2">
        <f>IF(A51="","",COUNTIF(Activities!$B:$B,A51))</f>
        <v/>
      </c>
      <c r="BG51" s="2">
        <f>IF(COUNTA(BH51:BK51)=0,"",ROUND(AVERAGE(BH51:BK51),0))</f>
        <v/>
      </c>
      <c r="BH51" s="2">
        <f>IF(BL51="","",IF(BL51&gt;=90,"HOT",IF(BL51&gt;=75,"HIGH",IF(BL51&gt;=50,"MEDIUM","LOW"))))</f>
        <v/>
      </c>
      <c r="BL51" s="2">
        <f>IFERROR(BN51/12,"")</f>
        <v/>
      </c>
      <c r="BP51" s="15" t="n"/>
    </row>
    <row r="52" ht="15.75" customHeight="1" s="19">
      <c r="AD52" s="13" t="n"/>
      <c r="AE52" s="13">
        <f>IF(A52="","",IFERROR(MAXIFS(Activities!$D:$D,Activities!$B:$B,A52),""))</f>
        <v/>
      </c>
      <c r="AF52" s="13">
        <f>IF(A52="","",IFERROR(MINIFS(Follow_Ups!$G:$G,Follow_Ups!$B:$B,A52,Follow_Ups!$H:$H,"&lt;&gt;Completed",Follow_Ups!$G:$G,"&gt;="&amp;TODAY()),""))</f>
        <v/>
      </c>
      <c r="AG52" s="2">
        <f>IF(A52="","",COUNTIF(Activities!$B:$B,A52))</f>
        <v/>
      </c>
      <c r="BG52" s="2">
        <f>IF(COUNTA(BH52:BK52)=0,"",ROUND(AVERAGE(BH52:BK52),0))</f>
        <v/>
      </c>
      <c r="BH52" s="2">
        <f>IF(BL52="","",IF(BL52&gt;=90,"HOT",IF(BL52&gt;=75,"HIGH",IF(BL52&gt;=50,"MEDIUM","LOW"))))</f>
        <v/>
      </c>
      <c r="BL52" s="2">
        <f>IFERROR(BN52/12,"")</f>
        <v/>
      </c>
      <c r="BP52" s="15" t="n"/>
    </row>
    <row r="53" ht="15.75" customHeight="1" s="19">
      <c r="AD53" s="13" t="n"/>
      <c r="AE53" s="13">
        <f>IF(A53="","",IFERROR(MAXIFS(Activities!$D:$D,Activities!$B:$B,A53),""))</f>
        <v/>
      </c>
      <c r="AF53" s="13">
        <f>IF(A53="","",IFERROR(MINIFS(Follow_Ups!$G:$G,Follow_Ups!$B:$B,A53,Follow_Ups!$H:$H,"&lt;&gt;Completed",Follow_Ups!$G:$G,"&gt;="&amp;TODAY()),""))</f>
        <v/>
      </c>
      <c r="AG53" s="2">
        <f>IF(A53="","",COUNTIF(Activities!$B:$B,A53))</f>
        <v/>
      </c>
      <c r="BG53" s="2">
        <f>IF(COUNTA(BH53:BK53)=0,"",ROUND(AVERAGE(BH53:BK53),0))</f>
        <v/>
      </c>
      <c r="BH53" s="2">
        <f>IF(BL53="","",IF(BL53&gt;=90,"HOT",IF(BL53&gt;=75,"HIGH",IF(BL53&gt;=50,"MEDIUM","LOW"))))</f>
        <v/>
      </c>
      <c r="BL53" s="2">
        <f>IFERROR(BN53/12,"")</f>
        <v/>
      </c>
      <c r="BP53" s="15" t="n"/>
    </row>
    <row r="54" ht="15.75" customHeight="1" s="19">
      <c r="AD54" s="13" t="n"/>
      <c r="AE54" s="13">
        <f>IF(A54="","",IFERROR(MAXIFS(Activities!$D:$D,Activities!$B:$B,A54),""))</f>
        <v/>
      </c>
      <c r="AF54" s="13">
        <f>IF(A54="","",IFERROR(MINIFS(Follow_Ups!$G:$G,Follow_Ups!$B:$B,A54,Follow_Ups!$H:$H,"&lt;&gt;Completed",Follow_Ups!$G:$G,"&gt;="&amp;TODAY()),""))</f>
        <v/>
      </c>
      <c r="AG54" s="2">
        <f>IF(A54="","",COUNTIF(Activities!$B:$B,A54))</f>
        <v/>
      </c>
      <c r="BG54" s="2">
        <f>IF(COUNTA(BH54:BK54)=0,"",ROUND(AVERAGE(BH54:BK54),0))</f>
        <v/>
      </c>
      <c r="BH54" s="2">
        <f>IF(BL54="","",IF(BL54&gt;=90,"HOT",IF(BL54&gt;=75,"HIGH",IF(BL54&gt;=50,"MEDIUM","LOW"))))</f>
        <v/>
      </c>
      <c r="BL54" s="2">
        <f>IFERROR(BN54/12,"")</f>
        <v/>
      </c>
      <c r="BP54" s="15" t="n"/>
    </row>
    <row r="55" ht="15.75" customHeight="1" s="19">
      <c r="AD55" s="13" t="n"/>
      <c r="AE55" s="13">
        <f>IF(A55="","",IFERROR(MAXIFS(Activities!$D:$D,Activities!$B:$B,A55),""))</f>
        <v/>
      </c>
      <c r="AF55" s="13">
        <f>IF(A55="","",IFERROR(MINIFS(Follow_Ups!$G:$G,Follow_Ups!$B:$B,A55,Follow_Ups!$H:$H,"&lt;&gt;Completed",Follow_Ups!$G:$G,"&gt;="&amp;TODAY()),""))</f>
        <v/>
      </c>
      <c r="AG55" s="2">
        <f>IF(A55="","",COUNTIF(Activities!$B:$B,A55))</f>
        <v/>
      </c>
      <c r="BG55" s="2">
        <f>IF(COUNTA(BH55:BK55)=0,"",ROUND(AVERAGE(BH55:BK55),0))</f>
        <v/>
      </c>
      <c r="BH55" s="2">
        <f>IF(BL55="","",IF(BL55&gt;=90,"HOT",IF(BL55&gt;=75,"HIGH",IF(BL55&gt;=50,"MEDIUM","LOW"))))</f>
        <v/>
      </c>
      <c r="BL55" s="2">
        <f>IFERROR(BN55/12,"")</f>
        <v/>
      </c>
      <c r="BP55" s="15" t="n"/>
    </row>
    <row r="56" ht="15.75" customHeight="1" s="19">
      <c r="AD56" s="13" t="n"/>
      <c r="AE56" s="13">
        <f>IF(A56="","",IFERROR(MAXIFS(Activities!$D:$D,Activities!$B:$B,A56),""))</f>
        <v/>
      </c>
      <c r="AF56" s="13">
        <f>IF(A56="","",IFERROR(MINIFS(Follow_Ups!$G:$G,Follow_Ups!$B:$B,A56,Follow_Ups!$H:$H,"&lt;&gt;Completed",Follow_Ups!$G:$G,"&gt;="&amp;TODAY()),""))</f>
        <v/>
      </c>
      <c r="AG56" s="2">
        <f>IF(A56="","",COUNTIF(Activities!$B:$B,A56))</f>
        <v/>
      </c>
      <c r="BG56" s="2">
        <f>IF(COUNTA(BH56:BK56)=0,"",ROUND(AVERAGE(BH56:BK56),0))</f>
        <v/>
      </c>
      <c r="BH56" s="2">
        <f>IF(BL56="","",IF(BL56&gt;=90,"HOT",IF(BL56&gt;=75,"HIGH",IF(BL56&gt;=50,"MEDIUM","LOW"))))</f>
        <v/>
      </c>
      <c r="BL56" s="2">
        <f>IFERROR(BN56/12,"")</f>
        <v/>
      </c>
      <c r="BP56" s="15" t="n"/>
    </row>
    <row r="57" ht="15.75" customHeight="1" s="19">
      <c r="AD57" s="13" t="n"/>
      <c r="AE57" s="13">
        <f>IF(A57="","",IFERROR(MAXIFS(Activities!$D:$D,Activities!$B:$B,A57),""))</f>
        <v/>
      </c>
      <c r="AF57" s="13">
        <f>IF(A57="","",IFERROR(MINIFS(Follow_Ups!$G:$G,Follow_Ups!$B:$B,A57,Follow_Ups!$H:$H,"&lt;&gt;Completed",Follow_Ups!$G:$G,"&gt;="&amp;TODAY()),""))</f>
        <v/>
      </c>
      <c r="AG57" s="2">
        <f>IF(A57="","",COUNTIF(Activities!$B:$B,A57))</f>
        <v/>
      </c>
      <c r="BG57" s="2">
        <f>IF(COUNTA(BH57:BK57)=0,"",ROUND(AVERAGE(BH57:BK57),0))</f>
        <v/>
      </c>
      <c r="BH57" s="2">
        <f>IF(BL57="","",IF(BL57&gt;=90,"HOT",IF(BL57&gt;=75,"HIGH",IF(BL57&gt;=50,"MEDIUM","LOW"))))</f>
        <v/>
      </c>
      <c r="BL57" s="2">
        <f>IFERROR(BN57/12,"")</f>
        <v/>
      </c>
      <c r="BP57" s="15" t="n"/>
    </row>
    <row r="58" ht="15.75" customHeight="1" s="19">
      <c r="AD58" s="13" t="n"/>
      <c r="AE58" s="13">
        <f>IF(A58="","",IFERROR(MAXIFS(Activities!$D:$D,Activities!$B:$B,A58),""))</f>
        <v/>
      </c>
      <c r="AF58" s="13">
        <f>IF(A58="","",IFERROR(MINIFS(Follow_Ups!$G:$G,Follow_Ups!$B:$B,A58,Follow_Ups!$H:$H,"&lt;&gt;Completed",Follow_Ups!$G:$G,"&gt;="&amp;TODAY()),""))</f>
        <v/>
      </c>
      <c r="AG58" s="2">
        <f>IF(A58="","",COUNTIF(Activities!$B:$B,A58))</f>
        <v/>
      </c>
      <c r="BG58" s="2">
        <f>IF(COUNTA(BH58:BK58)=0,"",ROUND(AVERAGE(BH58:BK58),0))</f>
        <v/>
      </c>
      <c r="BH58" s="2">
        <f>IF(BL58="","",IF(BL58&gt;=90,"HOT",IF(BL58&gt;=75,"HIGH",IF(BL58&gt;=50,"MEDIUM","LOW"))))</f>
        <v/>
      </c>
      <c r="BL58" s="2">
        <f>IFERROR(BN58/12,"")</f>
        <v/>
      </c>
      <c r="BP58" s="15" t="n"/>
    </row>
    <row r="59" ht="15.75" customHeight="1" s="19">
      <c r="AD59" s="13" t="n"/>
      <c r="AE59" s="13">
        <f>IF(A59="","",IFERROR(MAXIFS(Activities!$D:$D,Activities!$B:$B,A59),""))</f>
        <v/>
      </c>
      <c r="AF59" s="13">
        <f>IF(A59="","",IFERROR(MINIFS(Follow_Ups!$G:$G,Follow_Ups!$B:$B,A59,Follow_Ups!$H:$H,"&lt;&gt;Completed",Follow_Ups!$G:$G,"&gt;="&amp;TODAY()),""))</f>
        <v/>
      </c>
      <c r="AG59" s="2">
        <f>IF(A59="","",COUNTIF(Activities!$B:$B,A59))</f>
        <v/>
      </c>
      <c r="BG59" s="2">
        <f>IF(COUNTA(BH59:BK59)=0,"",ROUND(AVERAGE(BH59:BK59),0))</f>
        <v/>
      </c>
      <c r="BH59" s="2">
        <f>IF(BL59="","",IF(BL59&gt;=90,"HOT",IF(BL59&gt;=75,"HIGH",IF(BL59&gt;=50,"MEDIUM","LOW"))))</f>
        <v/>
      </c>
      <c r="BL59" s="2">
        <f>IFERROR(BN59/12,"")</f>
        <v/>
      </c>
      <c r="BP59" s="15" t="n"/>
    </row>
    <row r="60" ht="15.75" customHeight="1" s="19">
      <c r="AD60" s="13" t="n"/>
      <c r="AE60" s="13">
        <f>IF(A60="","",IFERROR(MAXIFS(Activities!$D:$D,Activities!$B:$B,A60),""))</f>
        <v/>
      </c>
      <c r="AF60" s="13">
        <f>IF(A60="","",IFERROR(MINIFS(Follow_Ups!$G:$G,Follow_Ups!$B:$B,A60,Follow_Ups!$H:$H,"&lt;&gt;Completed",Follow_Ups!$G:$G,"&gt;="&amp;TODAY()),""))</f>
        <v/>
      </c>
      <c r="AG60" s="2">
        <f>IF(A60="","",COUNTIF(Activities!$B:$B,A60))</f>
        <v/>
      </c>
      <c r="BG60" s="2">
        <f>IF(COUNTA(BH60:BK60)=0,"",ROUND(AVERAGE(BH60:BK60),0))</f>
        <v/>
      </c>
      <c r="BH60" s="2">
        <f>IF(BL60="","",IF(BL60&gt;=90,"HOT",IF(BL60&gt;=75,"HIGH",IF(BL60&gt;=50,"MEDIUM","LOW"))))</f>
        <v/>
      </c>
      <c r="BL60" s="2">
        <f>IFERROR(BN60/12,"")</f>
        <v/>
      </c>
      <c r="BP60" s="15" t="n"/>
    </row>
    <row r="61" ht="15.75" customHeight="1" s="19">
      <c r="AD61" s="13" t="n"/>
      <c r="AE61" s="13">
        <f>IF(A61="","",IFERROR(MAXIFS(Activities!$D:$D,Activities!$B:$B,A61),""))</f>
        <v/>
      </c>
      <c r="AF61" s="13">
        <f>IF(A61="","",IFERROR(MINIFS(Follow_Ups!$G:$G,Follow_Ups!$B:$B,A61,Follow_Ups!$H:$H,"&lt;&gt;Completed",Follow_Ups!$G:$G,"&gt;="&amp;TODAY()),""))</f>
        <v/>
      </c>
      <c r="AG61" s="2">
        <f>IF(A61="","",COUNTIF(Activities!$B:$B,A61))</f>
        <v/>
      </c>
      <c r="BG61" s="2">
        <f>IF(COUNTA(BH61:BK61)=0,"",ROUND(AVERAGE(BH61:BK61),0))</f>
        <v/>
      </c>
      <c r="BH61" s="2">
        <f>IF(BL61="","",IF(BL61&gt;=90,"HOT",IF(BL61&gt;=75,"HIGH",IF(BL61&gt;=50,"MEDIUM","LOW"))))</f>
        <v/>
      </c>
      <c r="BL61" s="2">
        <f>IFERROR(BN61/12,"")</f>
        <v/>
      </c>
      <c r="BP61" s="15" t="n"/>
    </row>
    <row r="62" ht="15.75" customHeight="1" s="19">
      <c r="AD62" s="13" t="n"/>
      <c r="AE62" s="13">
        <f>IF(A62="","",IFERROR(MAXIFS(Activities!$D:$D,Activities!$B:$B,A62),""))</f>
        <v/>
      </c>
      <c r="AF62" s="13">
        <f>IF(A62="","",IFERROR(MINIFS(Follow_Ups!$G:$G,Follow_Ups!$B:$B,A62,Follow_Ups!$H:$H,"&lt;&gt;Completed",Follow_Ups!$G:$G,"&gt;="&amp;TODAY()),""))</f>
        <v/>
      </c>
      <c r="AG62" s="2">
        <f>IF(A62="","",COUNTIF(Activities!$B:$B,A62))</f>
        <v/>
      </c>
      <c r="BG62" s="2">
        <f>IF(COUNTA(BH62:BK62)=0,"",ROUND(AVERAGE(BH62:BK62),0))</f>
        <v/>
      </c>
      <c r="BH62" s="2">
        <f>IF(BL62="","",IF(BL62&gt;=90,"HOT",IF(BL62&gt;=75,"HIGH",IF(BL62&gt;=50,"MEDIUM","LOW"))))</f>
        <v/>
      </c>
      <c r="BL62" s="2">
        <f>IFERROR(BN62/12,"")</f>
        <v/>
      </c>
      <c r="BP62" s="15" t="n"/>
    </row>
    <row r="63" ht="15.75" customHeight="1" s="19">
      <c r="AD63" s="13" t="n"/>
      <c r="AE63" s="13">
        <f>IF(A63="","",IFERROR(MAXIFS(Activities!$D:$D,Activities!$B:$B,A63),""))</f>
        <v/>
      </c>
      <c r="AF63" s="13">
        <f>IF(A63="","",IFERROR(MINIFS(Follow_Ups!$G:$G,Follow_Ups!$B:$B,A63,Follow_Ups!$H:$H,"&lt;&gt;Completed",Follow_Ups!$G:$G,"&gt;="&amp;TODAY()),""))</f>
        <v/>
      </c>
      <c r="AG63" s="2">
        <f>IF(A63="","",COUNTIF(Activities!$B:$B,A63))</f>
        <v/>
      </c>
      <c r="BG63" s="2">
        <f>IF(COUNTA(BH63:BK63)=0,"",ROUND(AVERAGE(BH63:BK63),0))</f>
        <v/>
      </c>
      <c r="BH63" s="2">
        <f>IF(BL63="","",IF(BL63&gt;=90,"HOT",IF(BL63&gt;=75,"HIGH",IF(BL63&gt;=50,"MEDIUM","LOW"))))</f>
        <v/>
      </c>
      <c r="BL63" s="2">
        <f>IFERROR(BN63/12,"")</f>
        <v/>
      </c>
      <c r="BP63" s="15" t="n"/>
    </row>
    <row r="64" ht="15.75" customHeight="1" s="19">
      <c r="AD64" s="13" t="n"/>
      <c r="AE64" s="13">
        <f>IF(A64="","",IFERROR(MAXIFS(Activities!$D:$D,Activities!$B:$B,A64),""))</f>
        <v/>
      </c>
      <c r="AF64" s="13">
        <f>IF(A64="","",IFERROR(MINIFS(Follow_Ups!$G:$G,Follow_Ups!$B:$B,A64,Follow_Ups!$H:$H,"&lt;&gt;Completed",Follow_Ups!$G:$G,"&gt;="&amp;TODAY()),""))</f>
        <v/>
      </c>
      <c r="AG64" s="2">
        <f>IF(A64="","",COUNTIF(Activities!$B:$B,A64))</f>
        <v/>
      </c>
      <c r="BG64" s="2">
        <f>IF(COUNTA(BH64:BK64)=0,"",ROUND(AVERAGE(BH64:BK64),0))</f>
        <v/>
      </c>
      <c r="BH64" s="2">
        <f>IF(BL64="","",IF(BL64&gt;=90,"HOT",IF(BL64&gt;=75,"HIGH",IF(BL64&gt;=50,"MEDIUM","LOW"))))</f>
        <v/>
      </c>
      <c r="BL64" s="2">
        <f>IFERROR(BN64/12,"")</f>
        <v/>
      </c>
      <c r="BP64" s="15" t="n"/>
    </row>
    <row r="65" ht="15.75" customHeight="1" s="19">
      <c r="AD65" s="13" t="n"/>
      <c r="AE65" s="13">
        <f>IF(A65="","",IFERROR(MAXIFS(Activities!$D:$D,Activities!$B:$B,A65),""))</f>
        <v/>
      </c>
      <c r="AF65" s="13">
        <f>IF(A65="","",IFERROR(MINIFS(Follow_Ups!$G:$G,Follow_Ups!$B:$B,A65,Follow_Ups!$H:$H,"&lt;&gt;Completed",Follow_Ups!$G:$G,"&gt;="&amp;TODAY()),""))</f>
        <v/>
      </c>
      <c r="AG65" s="2">
        <f>IF(A65="","",COUNTIF(Activities!$B:$B,A65))</f>
        <v/>
      </c>
      <c r="BG65" s="2">
        <f>IF(COUNTA(BH65:BK65)=0,"",ROUND(AVERAGE(BH65:BK65),0))</f>
        <v/>
      </c>
      <c r="BH65" s="2">
        <f>IF(BL65="","",IF(BL65&gt;=90,"HOT",IF(BL65&gt;=75,"HIGH",IF(BL65&gt;=50,"MEDIUM","LOW"))))</f>
        <v/>
      </c>
      <c r="BL65" s="2">
        <f>IFERROR(BN65/12,"")</f>
        <v/>
      </c>
      <c r="BP65" s="15" t="n"/>
    </row>
    <row r="66" ht="15.75" customHeight="1" s="19">
      <c r="AD66" s="13" t="n"/>
      <c r="AE66" s="13">
        <f>IF(A66="","",IFERROR(MAXIFS(Activities!$D:$D,Activities!$B:$B,A66),""))</f>
        <v/>
      </c>
      <c r="AF66" s="13">
        <f>IF(A66="","",IFERROR(MINIFS(Follow_Ups!$G:$G,Follow_Ups!$B:$B,A66,Follow_Ups!$H:$H,"&lt;&gt;Completed",Follow_Ups!$G:$G,"&gt;="&amp;TODAY()),""))</f>
        <v/>
      </c>
      <c r="AG66" s="2">
        <f>IF(A66="","",COUNTIF(Activities!$B:$B,A66))</f>
        <v/>
      </c>
      <c r="BG66" s="2">
        <f>IF(COUNTA(BH66:BK66)=0,"",ROUND(AVERAGE(BH66:BK66),0))</f>
        <v/>
      </c>
      <c r="BH66" s="2">
        <f>IF(BL66="","",IF(BL66&gt;=90,"HOT",IF(BL66&gt;=75,"HIGH",IF(BL66&gt;=50,"MEDIUM","LOW"))))</f>
        <v/>
      </c>
      <c r="BL66" s="2">
        <f>IFERROR(BN66/12,"")</f>
        <v/>
      </c>
      <c r="BP66" s="15" t="n"/>
    </row>
    <row r="67" ht="15.75" customHeight="1" s="19">
      <c r="AD67" s="13" t="n"/>
      <c r="AE67" s="13">
        <f>IF(A67="","",IFERROR(MAXIFS(Activities!$D:$D,Activities!$B:$B,A67),""))</f>
        <v/>
      </c>
      <c r="AF67" s="13">
        <f>IF(A67="","",IFERROR(MINIFS(Follow_Ups!$G:$G,Follow_Ups!$B:$B,A67,Follow_Ups!$H:$H,"&lt;&gt;Completed",Follow_Ups!$G:$G,"&gt;="&amp;TODAY()),""))</f>
        <v/>
      </c>
      <c r="AG67" s="2">
        <f>IF(A67="","",COUNTIF(Activities!$B:$B,A67))</f>
        <v/>
      </c>
      <c r="BG67" s="2">
        <f>IF(COUNTA(BH67:BK67)=0,"",ROUND(AVERAGE(BH67:BK67),0))</f>
        <v/>
      </c>
      <c r="BH67" s="2">
        <f>IF(BL67="","",IF(BL67&gt;=90,"HOT",IF(BL67&gt;=75,"HIGH",IF(BL67&gt;=50,"MEDIUM","LOW"))))</f>
        <v/>
      </c>
      <c r="BL67" s="2">
        <f>IFERROR(BN67/12,"")</f>
        <v/>
      </c>
      <c r="BP67" s="15" t="n"/>
    </row>
    <row r="68" ht="15.75" customHeight="1" s="19">
      <c r="AD68" s="13" t="n"/>
      <c r="AE68" s="13">
        <f>IF(A68="","",IFERROR(MAXIFS(Activities!$D:$D,Activities!$B:$B,A68),""))</f>
        <v/>
      </c>
      <c r="AF68" s="13">
        <f>IF(A68="","",IFERROR(MINIFS(Follow_Ups!$G:$G,Follow_Ups!$B:$B,A68,Follow_Ups!$H:$H,"&lt;&gt;Completed",Follow_Ups!$G:$G,"&gt;="&amp;TODAY()),""))</f>
        <v/>
      </c>
      <c r="AG68" s="2">
        <f>IF(A68="","",COUNTIF(Activities!$B:$B,A68))</f>
        <v/>
      </c>
      <c r="BG68" s="2">
        <f>IF(COUNTA(BH68:BK68)=0,"",ROUND(AVERAGE(BH68:BK68),0))</f>
        <v/>
      </c>
      <c r="BH68" s="2">
        <f>IF(BL68="","",IF(BL68&gt;=90,"HOT",IF(BL68&gt;=75,"HIGH",IF(BL68&gt;=50,"MEDIUM","LOW"))))</f>
        <v/>
      </c>
      <c r="BL68" s="2">
        <f>IFERROR(BN68/12,"")</f>
        <v/>
      </c>
      <c r="BP68" s="15" t="n"/>
    </row>
    <row r="69" ht="15.75" customHeight="1" s="19">
      <c r="AD69" s="13" t="n"/>
      <c r="AE69" s="13">
        <f>IF(A69="","",IFERROR(MAXIFS(Activities!$D:$D,Activities!$B:$B,A69),""))</f>
        <v/>
      </c>
      <c r="AF69" s="13">
        <f>IF(A69="","",IFERROR(MINIFS(Follow_Ups!$G:$G,Follow_Ups!$B:$B,A69,Follow_Ups!$H:$H,"&lt;&gt;Completed",Follow_Ups!$G:$G,"&gt;="&amp;TODAY()),""))</f>
        <v/>
      </c>
      <c r="AG69" s="2">
        <f>IF(A69="","",COUNTIF(Activities!$B:$B,A69))</f>
        <v/>
      </c>
      <c r="BG69" s="2">
        <f>IF(COUNTA(BH69:BK69)=0,"",ROUND(AVERAGE(BH69:BK69),0))</f>
        <v/>
      </c>
      <c r="BH69" s="2">
        <f>IF(BL69="","",IF(BL69&gt;=90,"HOT",IF(BL69&gt;=75,"HIGH",IF(BL69&gt;=50,"MEDIUM","LOW"))))</f>
        <v/>
      </c>
      <c r="BL69" s="2">
        <f>IFERROR(BN69/12,"")</f>
        <v/>
      </c>
      <c r="BP69" s="15" t="n"/>
    </row>
    <row r="70" ht="15.75" customHeight="1" s="19">
      <c r="AD70" s="13" t="n"/>
      <c r="AE70" s="13">
        <f>IF(A70="","",IFERROR(MAXIFS(Activities!$D:$D,Activities!$B:$B,A70),""))</f>
        <v/>
      </c>
      <c r="AF70" s="13">
        <f>IF(A70="","",IFERROR(MINIFS(Follow_Ups!$G:$G,Follow_Ups!$B:$B,A70,Follow_Ups!$H:$H,"&lt;&gt;Completed",Follow_Ups!$G:$G,"&gt;="&amp;TODAY()),""))</f>
        <v/>
      </c>
      <c r="AG70" s="2">
        <f>IF(A70="","",COUNTIF(Activities!$B:$B,A70))</f>
        <v/>
      </c>
      <c r="BG70" s="2">
        <f>IF(COUNTA(BH70:BK70)=0,"",ROUND(AVERAGE(BH70:BK70),0))</f>
        <v/>
      </c>
      <c r="BH70" s="2">
        <f>IF(BL70="","",IF(BL70&gt;=90,"HOT",IF(BL70&gt;=75,"HIGH",IF(BL70&gt;=50,"MEDIUM","LOW"))))</f>
        <v/>
      </c>
      <c r="BL70" s="2">
        <f>IFERROR(BN70/12,"")</f>
        <v/>
      </c>
      <c r="BP70" s="15" t="n"/>
    </row>
    <row r="71" ht="15.75" customHeight="1" s="19">
      <c r="AD71" s="13" t="n"/>
      <c r="AE71" s="13">
        <f>IF(A71="","",IFERROR(MAXIFS(Activities!$D:$D,Activities!$B:$B,A71),""))</f>
        <v/>
      </c>
      <c r="AF71" s="13">
        <f>IF(A71="","",IFERROR(MINIFS(Follow_Ups!$G:$G,Follow_Ups!$B:$B,A71,Follow_Ups!$H:$H,"&lt;&gt;Completed",Follow_Ups!$G:$G,"&gt;="&amp;TODAY()),""))</f>
        <v/>
      </c>
      <c r="AG71" s="2">
        <f>IF(A71="","",COUNTIF(Activities!$B:$B,A71))</f>
        <v/>
      </c>
      <c r="BG71" s="2">
        <f>IF(COUNTA(BH71:BK71)=0,"",ROUND(AVERAGE(BH71:BK71),0))</f>
        <v/>
      </c>
      <c r="BH71" s="2">
        <f>IF(BL71="","",IF(BL71&gt;=90,"HOT",IF(BL71&gt;=75,"HIGH",IF(BL71&gt;=50,"MEDIUM","LOW"))))</f>
        <v/>
      </c>
      <c r="BL71" s="2">
        <f>IFERROR(BN71/12,"")</f>
        <v/>
      </c>
      <c r="BP71" s="15" t="n"/>
    </row>
    <row r="72" ht="15.75" customHeight="1" s="19">
      <c r="AD72" s="13" t="n"/>
      <c r="AE72" s="13">
        <f>IF(A72="","",IFERROR(MAXIFS(Activities!$D:$D,Activities!$B:$B,A72),""))</f>
        <v/>
      </c>
      <c r="AF72" s="13">
        <f>IF(A72="","",IFERROR(MINIFS(Follow_Ups!$G:$G,Follow_Ups!$B:$B,A72,Follow_Ups!$H:$H,"&lt;&gt;Completed",Follow_Ups!$G:$G,"&gt;="&amp;TODAY()),""))</f>
        <v/>
      </c>
      <c r="AG72" s="2">
        <f>IF(A72="","",COUNTIF(Activities!$B:$B,A72))</f>
        <v/>
      </c>
      <c r="BG72" s="2">
        <f>IF(COUNTA(BH72:BK72)=0,"",ROUND(AVERAGE(BH72:BK72),0))</f>
        <v/>
      </c>
      <c r="BH72" s="2">
        <f>IF(BL72="","",IF(BL72&gt;=90,"HOT",IF(BL72&gt;=75,"HIGH",IF(BL72&gt;=50,"MEDIUM","LOW"))))</f>
        <v/>
      </c>
      <c r="BL72" s="2">
        <f>IFERROR(BN72/12,"")</f>
        <v/>
      </c>
      <c r="BP72" s="15" t="n"/>
    </row>
    <row r="73" ht="15.75" customHeight="1" s="19">
      <c r="AD73" s="13" t="n"/>
      <c r="AE73" s="13">
        <f>IF(A73="","",IFERROR(MAXIFS(Activities!$D:$D,Activities!$B:$B,A73),""))</f>
        <v/>
      </c>
      <c r="AF73" s="13">
        <f>IF(A73="","",IFERROR(MINIFS(Follow_Ups!$G:$G,Follow_Ups!$B:$B,A73,Follow_Ups!$H:$H,"&lt;&gt;Completed",Follow_Ups!$G:$G,"&gt;="&amp;TODAY()),""))</f>
        <v/>
      </c>
      <c r="AG73" s="2">
        <f>IF(A73="","",COUNTIF(Activities!$B:$B,A73))</f>
        <v/>
      </c>
      <c r="BG73" s="2">
        <f>IF(COUNTA(BH73:BK73)=0,"",ROUND(AVERAGE(BH73:BK73),0))</f>
        <v/>
      </c>
      <c r="BH73" s="2">
        <f>IF(BL73="","",IF(BL73&gt;=90,"HOT",IF(BL73&gt;=75,"HIGH",IF(BL73&gt;=50,"MEDIUM","LOW"))))</f>
        <v/>
      </c>
      <c r="BL73" s="2">
        <f>IFERROR(BN73/12,"")</f>
        <v/>
      </c>
      <c r="BP73" s="15" t="n"/>
    </row>
    <row r="74" ht="15.75" customHeight="1" s="19">
      <c r="AD74" s="13" t="n"/>
      <c r="AE74" s="13">
        <f>IF(A74="","",IFERROR(MAXIFS(Activities!$D:$D,Activities!$B:$B,A74),""))</f>
        <v/>
      </c>
      <c r="AF74" s="13">
        <f>IF(A74="","",IFERROR(MINIFS(Follow_Ups!$G:$G,Follow_Ups!$B:$B,A74,Follow_Ups!$H:$H,"&lt;&gt;Completed",Follow_Ups!$G:$G,"&gt;="&amp;TODAY()),""))</f>
        <v/>
      </c>
      <c r="AG74" s="2">
        <f>IF(A74="","",COUNTIF(Activities!$B:$B,A74))</f>
        <v/>
      </c>
      <c r="BG74" s="2">
        <f>IF(COUNTA(BH74:BK74)=0,"",ROUND(AVERAGE(BH74:BK74),0))</f>
        <v/>
      </c>
      <c r="BH74" s="2">
        <f>IF(BL74="","",IF(BL74&gt;=90,"HOT",IF(BL74&gt;=75,"HIGH",IF(BL74&gt;=50,"MEDIUM","LOW"))))</f>
        <v/>
      </c>
      <c r="BL74" s="2">
        <f>IFERROR(BN74/12,"")</f>
        <v/>
      </c>
      <c r="BP74" s="15" t="n"/>
    </row>
    <row r="75" ht="15.75" customHeight="1" s="19">
      <c r="AD75" s="13" t="n"/>
      <c r="AE75" s="13">
        <f>IF(A75="","",IFERROR(MAXIFS(Activities!$D:$D,Activities!$B:$B,A75),""))</f>
        <v/>
      </c>
      <c r="AF75" s="13">
        <f>IF(A75="","",IFERROR(MINIFS(Follow_Ups!$G:$G,Follow_Ups!$B:$B,A75,Follow_Ups!$H:$H,"&lt;&gt;Completed",Follow_Ups!$G:$G,"&gt;="&amp;TODAY()),""))</f>
        <v/>
      </c>
      <c r="AG75" s="2">
        <f>IF(A75="","",COUNTIF(Activities!$B:$B,A75))</f>
        <v/>
      </c>
      <c r="BG75" s="2">
        <f>IF(COUNTA(BH75:BK75)=0,"",ROUND(AVERAGE(BH75:BK75),0))</f>
        <v/>
      </c>
      <c r="BH75" s="2">
        <f>IF(BL75="","",IF(BL75&gt;=90,"HOT",IF(BL75&gt;=75,"HIGH",IF(BL75&gt;=50,"MEDIUM","LOW"))))</f>
        <v/>
      </c>
      <c r="BL75" s="2">
        <f>IFERROR(BN75/12,"")</f>
        <v/>
      </c>
      <c r="BP75" s="15" t="n"/>
    </row>
    <row r="76" ht="15.75" customHeight="1" s="19">
      <c r="AD76" s="13" t="n"/>
      <c r="AE76" s="13">
        <f>IF(A76="","",IFERROR(MAXIFS(Activities!$D:$D,Activities!$B:$B,A76),""))</f>
        <v/>
      </c>
      <c r="AF76" s="13">
        <f>IF(A76="","",IFERROR(MINIFS(Follow_Ups!$G:$G,Follow_Ups!$B:$B,A76,Follow_Ups!$H:$H,"&lt;&gt;Completed",Follow_Ups!$G:$G,"&gt;="&amp;TODAY()),""))</f>
        <v/>
      </c>
      <c r="AG76" s="2">
        <f>IF(A76="","",COUNTIF(Activities!$B:$B,A76))</f>
        <v/>
      </c>
      <c r="BG76" s="2">
        <f>IF(COUNTA(BH76:BK76)=0,"",ROUND(AVERAGE(BH76:BK76),0))</f>
        <v/>
      </c>
      <c r="BH76" s="2">
        <f>IF(BL76="","",IF(BL76&gt;=90,"HOT",IF(BL76&gt;=75,"HIGH",IF(BL76&gt;=50,"MEDIUM","LOW"))))</f>
        <v/>
      </c>
      <c r="BL76" s="2">
        <f>IFERROR(BN76/12,"")</f>
        <v/>
      </c>
      <c r="BP76" s="15" t="n"/>
    </row>
    <row r="77" ht="15.75" customHeight="1" s="19">
      <c r="AD77" s="13" t="n"/>
      <c r="AE77" s="13">
        <f>IF(A77="","",IFERROR(MAXIFS(Activities!$D:$D,Activities!$B:$B,A77),""))</f>
        <v/>
      </c>
      <c r="AF77" s="13">
        <f>IF(A77="","",IFERROR(MINIFS(Follow_Ups!$G:$G,Follow_Ups!$B:$B,A77,Follow_Ups!$H:$H,"&lt;&gt;Completed",Follow_Ups!$G:$G,"&gt;="&amp;TODAY()),""))</f>
        <v/>
      </c>
      <c r="AG77" s="2">
        <f>IF(A77="","",COUNTIF(Activities!$B:$B,A77))</f>
        <v/>
      </c>
      <c r="BG77" s="2">
        <f>IF(COUNTA(BH77:BK77)=0,"",ROUND(AVERAGE(BH77:BK77),0))</f>
        <v/>
      </c>
      <c r="BH77" s="2">
        <f>IF(BL77="","",IF(BL77&gt;=90,"HOT",IF(BL77&gt;=75,"HIGH",IF(BL77&gt;=50,"MEDIUM","LOW"))))</f>
        <v/>
      </c>
      <c r="BL77" s="2">
        <f>IFERROR(BN77/12,"")</f>
        <v/>
      </c>
      <c r="BP77" s="15" t="n"/>
    </row>
    <row r="78" ht="15.75" customHeight="1" s="19">
      <c r="AD78" s="13" t="n"/>
      <c r="AE78" s="13">
        <f>IF(A78="","",IFERROR(MAXIFS(Activities!$D:$D,Activities!$B:$B,A78),""))</f>
        <v/>
      </c>
      <c r="AF78" s="13">
        <f>IF(A78="","",IFERROR(MINIFS(Follow_Ups!$G:$G,Follow_Ups!$B:$B,A78,Follow_Ups!$H:$H,"&lt;&gt;Completed",Follow_Ups!$G:$G,"&gt;="&amp;TODAY()),""))</f>
        <v/>
      </c>
      <c r="AG78" s="2">
        <f>IF(A78="","",COUNTIF(Activities!$B:$B,A78))</f>
        <v/>
      </c>
      <c r="BG78" s="2">
        <f>IF(COUNTA(BH78:BK78)=0,"",ROUND(AVERAGE(BH78:BK78),0))</f>
        <v/>
      </c>
      <c r="BH78" s="2">
        <f>IF(BL78="","",IF(BL78&gt;=90,"HOT",IF(BL78&gt;=75,"HIGH",IF(BL78&gt;=50,"MEDIUM","LOW"))))</f>
        <v/>
      </c>
      <c r="BL78" s="2">
        <f>IFERROR(BN78/12,"")</f>
        <v/>
      </c>
      <c r="BP78" s="15" t="n"/>
    </row>
    <row r="79" ht="15.75" customHeight="1" s="19">
      <c r="AD79" s="13" t="n"/>
      <c r="AE79" s="13">
        <f>IF(A79="","",IFERROR(MAXIFS(Activities!$D:$D,Activities!$B:$B,A79),""))</f>
        <v/>
      </c>
      <c r="AF79" s="13">
        <f>IF(A79="","",IFERROR(MINIFS(Follow_Ups!$G:$G,Follow_Ups!$B:$B,A79,Follow_Ups!$H:$H,"&lt;&gt;Completed",Follow_Ups!$G:$G,"&gt;="&amp;TODAY()),""))</f>
        <v/>
      </c>
      <c r="AG79" s="2">
        <f>IF(A79="","",COUNTIF(Activities!$B:$B,A79))</f>
        <v/>
      </c>
      <c r="BG79" s="2">
        <f>IF(COUNTA(BH79:BK79)=0,"",ROUND(AVERAGE(BH79:BK79),0))</f>
        <v/>
      </c>
      <c r="BH79" s="2">
        <f>IF(BL79="","",IF(BL79&gt;=90,"HOT",IF(BL79&gt;=75,"HIGH",IF(BL79&gt;=50,"MEDIUM","LOW"))))</f>
        <v/>
      </c>
      <c r="BL79" s="2">
        <f>IFERROR(BN79/12,"")</f>
        <v/>
      </c>
      <c r="BP79" s="15" t="n"/>
    </row>
    <row r="80" ht="15.75" customHeight="1" s="19">
      <c r="AD80" s="13" t="n"/>
      <c r="AE80" s="13">
        <f>IF(A80="","",IFERROR(MAXIFS(Activities!$D:$D,Activities!$B:$B,A80),""))</f>
        <v/>
      </c>
      <c r="AF80" s="13">
        <f>IF(A80="","",IFERROR(MINIFS(Follow_Ups!$G:$G,Follow_Ups!$B:$B,A80,Follow_Ups!$H:$H,"&lt;&gt;Completed",Follow_Ups!$G:$G,"&gt;="&amp;TODAY()),""))</f>
        <v/>
      </c>
      <c r="AG80" s="2">
        <f>IF(A80="","",COUNTIF(Activities!$B:$B,A80))</f>
        <v/>
      </c>
      <c r="BG80" s="2">
        <f>IF(COUNTA(BH80:BK80)=0,"",ROUND(AVERAGE(BH80:BK80),0))</f>
        <v/>
      </c>
      <c r="BH80" s="2">
        <f>IF(BL80="","",IF(BL80&gt;=90,"HOT",IF(BL80&gt;=75,"HIGH",IF(BL80&gt;=50,"MEDIUM","LOW"))))</f>
        <v/>
      </c>
      <c r="BL80" s="2">
        <f>IFERROR(BN80/12,"")</f>
        <v/>
      </c>
      <c r="BP80" s="15" t="n"/>
    </row>
    <row r="81" ht="15.75" customHeight="1" s="19">
      <c r="AD81" s="13" t="n"/>
      <c r="AE81" s="13">
        <f>IF(A81="","",IFERROR(MAXIFS(Activities!$D:$D,Activities!$B:$B,A81),""))</f>
        <v/>
      </c>
      <c r="AF81" s="13">
        <f>IF(A81="","",IFERROR(MINIFS(Follow_Ups!$G:$G,Follow_Ups!$B:$B,A81,Follow_Ups!$H:$H,"&lt;&gt;Completed",Follow_Ups!$G:$G,"&gt;="&amp;TODAY()),""))</f>
        <v/>
      </c>
      <c r="AG81" s="2">
        <f>IF(A81="","",COUNTIF(Activities!$B:$B,A81))</f>
        <v/>
      </c>
      <c r="BG81" s="2">
        <f>IF(COUNTA(BH81:BK81)=0,"",ROUND(AVERAGE(BH81:BK81),0))</f>
        <v/>
      </c>
      <c r="BH81" s="2">
        <f>IF(BL81="","",IF(BL81&gt;=90,"HOT",IF(BL81&gt;=75,"HIGH",IF(BL81&gt;=50,"MEDIUM","LOW"))))</f>
        <v/>
      </c>
      <c r="BL81" s="2">
        <f>IFERROR(BN81/12,"")</f>
        <v/>
      </c>
      <c r="BP81" s="15" t="n"/>
    </row>
    <row r="82" ht="15.75" customHeight="1" s="19">
      <c r="AD82" s="13" t="n"/>
      <c r="AE82" s="13">
        <f>IF(A82="","",IFERROR(MAXIFS(Activities!$D:$D,Activities!$B:$B,A82),""))</f>
        <v/>
      </c>
      <c r="AF82" s="13">
        <f>IF(A82="","",IFERROR(MINIFS(Follow_Ups!$G:$G,Follow_Ups!$B:$B,A82,Follow_Ups!$H:$H,"&lt;&gt;Completed",Follow_Ups!$G:$G,"&gt;="&amp;TODAY()),""))</f>
        <v/>
      </c>
      <c r="AG82" s="2">
        <f>IF(A82="","",COUNTIF(Activities!$B:$B,A82))</f>
        <v/>
      </c>
      <c r="BG82" s="2">
        <f>IF(COUNTA(BH82:BK82)=0,"",ROUND(AVERAGE(BH82:BK82),0))</f>
        <v/>
      </c>
      <c r="BH82" s="2">
        <f>IF(BL82="","",IF(BL82&gt;=90,"HOT",IF(BL82&gt;=75,"HIGH",IF(BL82&gt;=50,"MEDIUM","LOW"))))</f>
        <v/>
      </c>
      <c r="BL82" s="2">
        <f>IFERROR(BN82/12,"")</f>
        <v/>
      </c>
      <c r="BP82" s="15" t="n"/>
    </row>
    <row r="83" ht="15.75" customHeight="1" s="19">
      <c r="AD83" s="13" t="n"/>
      <c r="AE83" s="13">
        <f>IF(A83="","",IFERROR(MAXIFS(Activities!$D:$D,Activities!$B:$B,A83),""))</f>
        <v/>
      </c>
      <c r="AF83" s="13">
        <f>IF(A83="","",IFERROR(MINIFS(Follow_Ups!$G:$G,Follow_Ups!$B:$B,A83,Follow_Ups!$H:$H,"&lt;&gt;Completed",Follow_Ups!$G:$G,"&gt;="&amp;TODAY()),""))</f>
        <v/>
      </c>
      <c r="AG83" s="2">
        <f>IF(A83="","",COUNTIF(Activities!$B:$B,A83))</f>
        <v/>
      </c>
      <c r="BG83" s="2">
        <f>IF(COUNTA(BH83:BK83)=0,"",ROUND(AVERAGE(BH83:BK83),0))</f>
        <v/>
      </c>
      <c r="BH83" s="2">
        <f>IF(BL83="","",IF(BL83&gt;=90,"HOT",IF(BL83&gt;=75,"HIGH",IF(BL83&gt;=50,"MEDIUM","LOW"))))</f>
        <v/>
      </c>
      <c r="BL83" s="2">
        <f>IFERROR(BN83/12,"")</f>
        <v/>
      </c>
      <c r="BP83" s="15" t="n"/>
    </row>
    <row r="84" ht="15.75" customHeight="1" s="19">
      <c r="AD84" s="13" t="n"/>
      <c r="AE84" s="13">
        <f>IF(A84="","",IFERROR(MAXIFS(Activities!$D:$D,Activities!$B:$B,A84),""))</f>
        <v/>
      </c>
      <c r="AF84" s="13">
        <f>IF(A84="","",IFERROR(MINIFS(Follow_Ups!$G:$G,Follow_Ups!$B:$B,A84,Follow_Ups!$H:$H,"&lt;&gt;Completed",Follow_Ups!$G:$G,"&gt;="&amp;TODAY()),""))</f>
        <v/>
      </c>
      <c r="AG84" s="2">
        <f>IF(A84="","",COUNTIF(Activities!$B:$B,A84))</f>
        <v/>
      </c>
      <c r="BG84" s="2">
        <f>IF(COUNTA(BH84:BK84)=0,"",ROUND(AVERAGE(BH84:BK84),0))</f>
        <v/>
      </c>
      <c r="BH84" s="2">
        <f>IF(BL84="","",IF(BL84&gt;=90,"HOT",IF(BL84&gt;=75,"HIGH",IF(BL84&gt;=50,"MEDIUM","LOW"))))</f>
        <v/>
      </c>
      <c r="BL84" s="2">
        <f>IFERROR(BN84/12,"")</f>
        <v/>
      </c>
      <c r="BP84" s="15" t="n"/>
    </row>
    <row r="85" ht="15.75" customHeight="1" s="19">
      <c r="AD85" s="13" t="n"/>
      <c r="AE85" s="13">
        <f>IF(A85="","",IFERROR(MAXIFS(Activities!$D:$D,Activities!$B:$B,A85),""))</f>
        <v/>
      </c>
      <c r="AF85" s="13">
        <f>IF(A85="","",IFERROR(MINIFS(Follow_Ups!$G:$G,Follow_Ups!$B:$B,A85,Follow_Ups!$H:$H,"&lt;&gt;Completed",Follow_Ups!$G:$G,"&gt;="&amp;TODAY()),""))</f>
        <v/>
      </c>
      <c r="AG85" s="2">
        <f>IF(A85="","",COUNTIF(Activities!$B:$B,A85))</f>
        <v/>
      </c>
      <c r="BG85" s="2">
        <f>IF(COUNTA(BH85:BK85)=0,"",ROUND(AVERAGE(BH85:BK85),0))</f>
        <v/>
      </c>
      <c r="BH85" s="2">
        <f>IF(BL85="","",IF(BL85&gt;=90,"HOT",IF(BL85&gt;=75,"HIGH",IF(BL85&gt;=50,"MEDIUM","LOW"))))</f>
        <v/>
      </c>
      <c r="BL85" s="2">
        <f>IFERROR(BN85/12,"")</f>
        <v/>
      </c>
      <c r="BP85" s="15" t="n"/>
    </row>
    <row r="86" ht="15.75" customHeight="1" s="19">
      <c r="AD86" s="13" t="n"/>
      <c r="AE86" s="13">
        <f>IF(A86="","",IFERROR(MAXIFS(Activities!$D:$D,Activities!$B:$B,A86),""))</f>
        <v/>
      </c>
      <c r="AF86" s="13">
        <f>IF(A86="","",IFERROR(MINIFS(Follow_Ups!$G:$G,Follow_Ups!$B:$B,A86,Follow_Ups!$H:$H,"&lt;&gt;Completed",Follow_Ups!$G:$G,"&gt;="&amp;TODAY()),""))</f>
        <v/>
      </c>
      <c r="AG86" s="2">
        <f>IF(A86="","",COUNTIF(Activities!$B:$B,A86))</f>
        <v/>
      </c>
      <c r="BG86" s="2">
        <f>IF(COUNTA(BH86:BK86)=0,"",ROUND(AVERAGE(BH86:BK86),0))</f>
        <v/>
      </c>
      <c r="BH86" s="2">
        <f>IF(BL86="","",IF(BL86&gt;=90,"HOT",IF(BL86&gt;=75,"HIGH",IF(BL86&gt;=50,"MEDIUM","LOW"))))</f>
        <v/>
      </c>
      <c r="BL86" s="2">
        <f>IFERROR(BN86/12,"")</f>
        <v/>
      </c>
      <c r="BP86" s="15" t="n"/>
    </row>
    <row r="87" ht="15.75" customHeight="1" s="19">
      <c r="AD87" s="13" t="n"/>
      <c r="AE87" s="13">
        <f>IF(A87="","",IFERROR(MAXIFS(Activities!$D:$D,Activities!$B:$B,A87),""))</f>
        <v/>
      </c>
      <c r="AF87" s="13">
        <f>IF(A87="","",IFERROR(MINIFS(Follow_Ups!$G:$G,Follow_Ups!$B:$B,A87,Follow_Ups!$H:$H,"&lt;&gt;Completed",Follow_Ups!$G:$G,"&gt;="&amp;TODAY()),""))</f>
        <v/>
      </c>
      <c r="AG87" s="2">
        <f>IF(A87="","",COUNTIF(Activities!$B:$B,A87))</f>
        <v/>
      </c>
      <c r="BG87" s="2">
        <f>IF(COUNTA(BH87:BK87)=0,"",ROUND(AVERAGE(BH87:BK87),0))</f>
        <v/>
      </c>
      <c r="BH87" s="2">
        <f>IF(BL87="","",IF(BL87&gt;=90,"HOT",IF(BL87&gt;=75,"HIGH",IF(BL87&gt;=50,"MEDIUM","LOW"))))</f>
        <v/>
      </c>
      <c r="BL87" s="2">
        <f>IFERROR(BN87/12,"")</f>
        <v/>
      </c>
      <c r="BP87" s="15" t="n"/>
    </row>
    <row r="88" ht="15.75" customHeight="1" s="19">
      <c r="AD88" s="13" t="n"/>
      <c r="AE88" s="13">
        <f>IF(A88="","",IFERROR(MAXIFS(Activities!$D:$D,Activities!$B:$B,A88),""))</f>
        <v/>
      </c>
      <c r="AF88" s="13">
        <f>IF(A88="","",IFERROR(MINIFS(Follow_Ups!$G:$G,Follow_Ups!$B:$B,A88,Follow_Ups!$H:$H,"&lt;&gt;Completed",Follow_Ups!$G:$G,"&gt;="&amp;TODAY()),""))</f>
        <v/>
      </c>
      <c r="AG88" s="2">
        <f>IF(A88="","",COUNTIF(Activities!$B:$B,A88))</f>
        <v/>
      </c>
      <c r="BG88" s="2">
        <f>IF(COUNTA(BH88:BK88)=0,"",ROUND(AVERAGE(BH88:BK88),0))</f>
        <v/>
      </c>
      <c r="BH88" s="2">
        <f>IF(BL88="","",IF(BL88&gt;=90,"HOT",IF(BL88&gt;=75,"HIGH",IF(BL88&gt;=50,"MEDIUM","LOW"))))</f>
        <v/>
      </c>
      <c r="BL88" s="2">
        <f>IFERROR(BN88/12,"")</f>
        <v/>
      </c>
      <c r="BP88" s="15" t="n"/>
    </row>
    <row r="89" ht="15.75" customHeight="1" s="19">
      <c r="AD89" s="13" t="n"/>
      <c r="AE89" s="13">
        <f>IF(A89="","",IFERROR(MAXIFS(Activities!$D:$D,Activities!$B:$B,A89),""))</f>
        <v/>
      </c>
      <c r="AF89" s="13">
        <f>IF(A89="","",IFERROR(MINIFS(Follow_Ups!$G:$G,Follow_Ups!$B:$B,A89,Follow_Ups!$H:$H,"&lt;&gt;Completed",Follow_Ups!$G:$G,"&gt;="&amp;TODAY()),""))</f>
        <v/>
      </c>
      <c r="AG89" s="2">
        <f>IF(A89="","",COUNTIF(Activities!$B:$B,A89))</f>
        <v/>
      </c>
      <c r="BG89" s="2">
        <f>IF(COUNTA(BH89:BK89)=0,"",ROUND(AVERAGE(BH89:BK89),0))</f>
        <v/>
      </c>
      <c r="BH89" s="2">
        <f>IF(BL89="","",IF(BL89&gt;=90,"HOT",IF(BL89&gt;=75,"HIGH",IF(BL89&gt;=50,"MEDIUM","LOW"))))</f>
        <v/>
      </c>
      <c r="BL89" s="2">
        <f>IFERROR(BN89/12,"")</f>
        <v/>
      </c>
      <c r="BP89" s="15" t="n"/>
    </row>
    <row r="90" ht="15.75" customHeight="1" s="19">
      <c r="AD90" s="13" t="n"/>
      <c r="AE90" s="13">
        <f>IF(A90="","",IFERROR(MAXIFS(Activities!$D:$D,Activities!$B:$B,A90),""))</f>
        <v/>
      </c>
      <c r="AF90" s="13">
        <f>IF(A90="","",IFERROR(MINIFS(Follow_Ups!$G:$G,Follow_Ups!$B:$B,A90,Follow_Ups!$H:$H,"&lt;&gt;Completed",Follow_Ups!$G:$G,"&gt;="&amp;TODAY()),""))</f>
        <v/>
      </c>
      <c r="AG90" s="2">
        <f>IF(A90="","",COUNTIF(Activities!$B:$B,A90))</f>
        <v/>
      </c>
      <c r="BG90" s="2">
        <f>IF(COUNTA(BH90:BK90)=0,"",ROUND(AVERAGE(BH90:BK90),0))</f>
        <v/>
      </c>
      <c r="BH90" s="2">
        <f>IF(BL90="","",IF(BL90&gt;=90,"HOT",IF(BL90&gt;=75,"HIGH",IF(BL90&gt;=50,"MEDIUM","LOW"))))</f>
        <v/>
      </c>
      <c r="BL90" s="2">
        <f>IFERROR(BN90/12,"")</f>
        <v/>
      </c>
      <c r="BP90" s="15" t="n"/>
    </row>
    <row r="91" ht="15.75" customHeight="1" s="19">
      <c r="AD91" s="13" t="n"/>
      <c r="AE91" s="13">
        <f>IF(A91="","",IFERROR(MAXIFS(Activities!$D:$D,Activities!$B:$B,A91),""))</f>
        <v/>
      </c>
      <c r="AF91" s="13">
        <f>IF(A91="","",IFERROR(MINIFS(Follow_Ups!$G:$G,Follow_Ups!$B:$B,A91,Follow_Ups!$H:$H,"&lt;&gt;Completed",Follow_Ups!$G:$G,"&gt;="&amp;TODAY()),""))</f>
        <v/>
      </c>
      <c r="AG91" s="2">
        <f>IF(A91="","",COUNTIF(Activities!$B:$B,A91))</f>
        <v/>
      </c>
      <c r="BG91" s="2">
        <f>IF(COUNTA(BH91:BK91)=0,"",ROUND(AVERAGE(BH91:BK91),0))</f>
        <v/>
      </c>
      <c r="BH91" s="2">
        <f>IF(BL91="","",IF(BL91&gt;=90,"HOT",IF(BL91&gt;=75,"HIGH",IF(BL91&gt;=50,"MEDIUM","LOW"))))</f>
        <v/>
      </c>
      <c r="BL91" s="2">
        <f>IFERROR(BN91/12,"")</f>
        <v/>
      </c>
      <c r="BP91" s="15" t="n"/>
    </row>
    <row r="92" ht="15.75" customHeight="1" s="19">
      <c r="AD92" s="13" t="n"/>
      <c r="AE92" s="13">
        <f>IF(A92="","",IFERROR(MAXIFS(Activities!$D:$D,Activities!$B:$B,A92),""))</f>
        <v/>
      </c>
      <c r="AF92" s="13">
        <f>IF(A92="","",IFERROR(MINIFS(Follow_Ups!$G:$G,Follow_Ups!$B:$B,A92,Follow_Ups!$H:$H,"&lt;&gt;Completed",Follow_Ups!$G:$G,"&gt;="&amp;TODAY()),""))</f>
        <v/>
      </c>
      <c r="AG92" s="2">
        <f>IF(A92="","",COUNTIF(Activities!$B:$B,A92))</f>
        <v/>
      </c>
      <c r="BG92" s="2">
        <f>IF(COUNTA(BH92:BK92)=0,"",ROUND(AVERAGE(BH92:BK92),0))</f>
        <v/>
      </c>
      <c r="BH92" s="2">
        <f>IF(BL92="","",IF(BL92&gt;=90,"HOT",IF(BL92&gt;=75,"HIGH",IF(BL92&gt;=50,"MEDIUM","LOW"))))</f>
        <v/>
      </c>
      <c r="BL92" s="2">
        <f>IFERROR(BN92/12,"")</f>
        <v/>
      </c>
      <c r="BP92" s="15" t="n"/>
    </row>
    <row r="93" ht="15.75" customHeight="1" s="19">
      <c r="AD93" s="13" t="n"/>
      <c r="AE93" s="13">
        <f>IF(A93="","",IFERROR(MAXIFS(Activities!$D:$D,Activities!$B:$B,A93),""))</f>
        <v/>
      </c>
      <c r="AF93" s="13">
        <f>IF(A93="","",IFERROR(MINIFS(Follow_Ups!$G:$G,Follow_Ups!$B:$B,A93,Follow_Ups!$H:$H,"&lt;&gt;Completed",Follow_Ups!$G:$G,"&gt;="&amp;TODAY()),""))</f>
        <v/>
      </c>
      <c r="AG93" s="2">
        <f>IF(A93="","",COUNTIF(Activities!$B:$B,A93))</f>
        <v/>
      </c>
      <c r="BG93" s="2">
        <f>IF(COUNTA(BH93:BK93)=0,"",ROUND(AVERAGE(BH93:BK93),0))</f>
        <v/>
      </c>
      <c r="BH93" s="2">
        <f>IF(BL93="","",IF(BL93&gt;=90,"HOT",IF(BL93&gt;=75,"HIGH",IF(BL93&gt;=50,"MEDIUM","LOW"))))</f>
        <v/>
      </c>
      <c r="BL93" s="2">
        <f>IFERROR(BN93/12,"")</f>
        <v/>
      </c>
      <c r="BP93" s="15" t="n"/>
    </row>
    <row r="94" ht="15.75" customHeight="1" s="19">
      <c r="AD94" s="13" t="n"/>
      <c r="AE94" s="13">
        <f>IF(A94="","",IFERROR(MAXIFS(Activities!$D:$D,Activities!$B:$B,A94),""))</f>
        <v/>
      </c>
      <c r="AF94" s="13">
        <f>IF(A94="","",IFERROR(MINIFS(Follow_Ups!$G:$G,Follow_Ups!$B:$B,A94,Follow_Ups!$H:$H,"&lt;&gt;Completed",Follow_Ups!$G:$G,"&gt;="&amp;TODAY()),""))</f>
        <v/>
      </c>
      <c r="AG94" s="2">
        <f>IF(A94="","",COUNTIF(Activities!$B:$B,A94))</f>
        <v/>
      </c>
      <c r="BG94" s="2">
        <f>IF(COUNTA(BH94:BK94)=0,"",ROUND(AVERAGE(BH94:BK94),0))</f>
        <v/>
      </c>
      <c r="BH94" s="2">
        <f>IF(BL94="","",IF(BL94&gt;=90,"HOT",IF(BL94&gt;=75,"HIGH",IF(BL94&gt;=50,"MEDIUM","LOW"))))</f>
        <v/>
      </c>
      <c r="BL94" s="2">
        <f>IFERROR(BN94/12,"")</f>
        <v/>
      </c>
      <c r="BP94" s="15" t="n"/>
    </row>
    <row r="95" ht="15.75" customHeight="1" s="19">
      <c r="AD95" s="13" t="n"/>
      <c r="AE95" s="13">
        <f>IF(A95="","",IFERROR(MAXIFS(Activities!$D:$D,Activities!$B:$B,A95),""))</f>
        <v/>
      </c>
      <c r="AF95" s="13">
        <f>IF(A95="","",IFERROR(MINIFS(Follow_Ups!$G:$G,Follow_Ups!$B:$B,A95,Follow_Ups!$H:$H,"&lt;&gt;Completed",Follow_Ups!$G:$G,"&gt;="&amp;TODAY()),""))</f>
        <v/>
      </c>
      <c r="AG95" s="2">
        <f>IF(A95="","",COUNTIF(Activities!$B:$B,A95))</f>
        <v/>
      </c>
      <c r="BG95" s="2">
        <f>IF(COUNTA(BH95:BK95)=0,"",ROUND(AVERAGE(BH95:BK95),0))</f>
        <v/>
      </c>
      <c r="BH95" s="2">
        <f>IF(BL95="","",IF(BL95&gt;=90,"HOT",IF(BL95&gt;=75,"HIGH",IF(BL95&gt;=50,"MEDIUM","LOW"))))</f>
        <v/>
      </c>
      <c r="BL95" s="2">
        <f>IFERROR(BN95/12,"")</f>
        <v/>
      </c>
      <c r="BP95" s="15" t="n"/>
    </row>
    <row r="96" ht="15.75" customHeight="1" s="19">
      <c r="AD96" s="13" t="n"/>
      <c r="AE96" s="13">
        <f>IF(A96="","",IFERROR(MAXIFS(Activities!$D:$D,Activities!$B:$B,A96),""))</f>
        <v/>
      </c>
      <c r="AF96" s="13">
        <f>IF(A96="","",IFERROR(MINIFS(Follow_Ups!$G:$G,Follow_Ups!$B:$B,A96,Follow_Ups!$H:$H,"&lt;&gt;Completed",Follow_Ups!$G:$G,"&gt;="&amp;TODAY()),""))</f>
        <v/>
      </c>
      <c r="AG96" s="2">
        <f>IF(A96="","",COUNTIF(Activities!$B:$B,A96))</f>
        <v/>
      </c>
      <c r="BG96" s="2">
        <f>IF(COUNTA(BH96:BK96)=0,"",ROUND(AVERAGE(BH96:BK96),0))</f>
        <v/>
      </c>
      <c r="BH96" s="2">
        <f>IF(BL96="","",IF(BL96&gt;=90,"HOT",IF(BL96&gt;=75,"HIGH",IF(BL96&gt;=50,"MEDIUM","LOW"))))</f>
        <v/>
      </c>
      <c r="BL96" s="2">
        <f>IFERROR(BN96/12,"")</f>
        <v/>
      </c>
      <c r="BP96" s="15" t="n"/>
    </row>
    <row r="97" ht="15.75" customHeight="1" s="19">
      <c r="AD97" s="13" t="n"/>
      <c r="AE97" s="13">
        <f>IF(A97="","",IFERROR(MAXIFS(Activities!$D:$D,Activities!$B:$B,A97),""))</f>
        <v/>
      </c>
      <c r="AF97" s="13">
        <f>IF(A97="","",IFERROR(MINIFS(Follow_Ups!$G:$G,Follow_Ups!$B:$B,A97,Follow_Ups!$H:$H,"&lt;&gt;Completed",Follow_Ups!$G:$G,"&gt;="&amp;TODAY()),""))</f>
        <v/>
      </c>
      <c r="AG97" s="2">
        <f>IF(A97="","",COUNTIF(Activities!$B:$B,A97))</f>
        <v/>
      </c>
      <c r="BG97" s="2">
        <f>IF(COUNTA(BH97:BK97)=0,"",ROUND(AVERAGE(BH97:BK97),0))</f>
        <v/>
      </c>
      <c r="BH97" s="2">
        <f>IF(BL97="","",IF(BL97&gt;=90,"HOT",IF(BL97&gt;=75,"HIGH",IF(BL97&gt;=50,"MEDIUM","LOW"))))</f>
        <v/>
      </c>
      <c r="BL97" s="2">
        <f>IFERROR(BN97/12,"")</f>
        <v/>
      </c>
      <c r="BP97" s="15" t="n"/>
    </row>
    <row r="98" ht="15.75" customHeight="1" s="19">
      <c r="AD98" s="13" t="n"/>
      <c r="AE98" s="13">
        <f>IF(A98="","",IFERROR(MAXIFS(Activities!$D:$D,Activities!$B:$B,A98),""))</f>
        <v/>
      </c>
      <c r="AF98" s="13">
        <f>IF(A98="","",IFERROR(MINIFS(Follow_Ups!$G:$G,Follow_Ups!$B:$B,A98,Follow_Ups!$H:$H,"&lt;&gt;Completed",Follow_Ups!$G:$G,"&gt;="&amp;TODAY()),""))</f>
        <v/>
      </c>
      <c r="AG98" s="2">
        <f>IF(A98="","",COUNTIF(Activities!$B:$B,A98))</f>
        <v/>
      </c>
      <c r="BG98" s="2">
        <f>IF(COUNTA(BH98:BK98)=0,"",ROUND(AVERAGE(BH98:BK98),0))</f>
        <v/>
      </c>
      <c r="BH98" s="2">
        <f>IF(BL98="","",IF(BL98&gt;=90,"HOT",IF(BL98&gt;=75,"HIGH",IF(BL98&gt;=50,"MEDIUM","LOW"))))</f>
        <v/>
      </c>
      <c r="BL98" s="2">
        <f>IFERROR(BN98/12,"")</f>
        <v/>
      </c>
      <c r="BP98" s="15" t="n"/>
    </row>
    <row r="99" ht="15.75" customHeight="1" s="19">
      <c r="AD99" s="13" t="n"/>
      <c r="AE99" s="13">
        <f>IF(A99="","",IFERROR(MAXIFS(Activities!$D:$D,Activities!$B:$B,A99),""))</f>
        <v/>
      </c>
      <c r="AF99" s="13">
        <f>IF(A99="","",IFERROR(MINIFS(Follow_Ups!$G:$G,Follow_Ups!$B:$B,A99,Follow_Ups!$H:$H,"&lt;&gt;Completed",Follow_Ups!$G:$G,"&gt;="&amp;TODAY()),""))</f>
        <v/>
      </c>
      <c r="AG99" s="2">
        <f>IF(A99="","",COUNTIF(Activities!$B:$B,A99))</f>
        <v/>
      </c>
      <c r="BG99" s="2">
        <f>IF(COUNTA(BH99:BK99)=0,"",ROUND(AVERAGE(BH99:BK99),0))</f>
        <v/>
      </c>
      <c r="BH99" s="2">
        <f>IF(BL99="","",IF(BL99&gt;=90,"HOT",IF(BL99&gt;=75,"HIGH",IF(BL99&gt;=50,"MEDIUM","LOW"))))</f>
        <v/>
      </c>
      <c r="BL99" s="2">
        <f>IFERROR(BN99/12,"")</f>
        <v/>
      </c>
      <c r="BP99" s="15" t="n"/>
    </row>
    <row r="100" ht="15.75" customHeight="1" s="19">
      <c r="AD100" s="13" t="n"/>
      <c r="AE100" s="13">
        <f>IF(A100="","",IFERROR(MAXIFS(Activities!$D:$D,Activities!$B:$B,A100),""))</f>
        <v/>
      </c>
      <c r="AF100" s="13">
        <f>IF(A100="","",IFERROR(MINIFS(Follow_Ups!$G:$G,Follow_Ups!$B:$B,A100,Follow_Ups!$H:$H,"&lt;&gt;Completed",Follow_Ups!$G:$G,"&gt;="&amp;TODAY()),""))</f>
        <v/>
      </c>
      <c r="AG100" s="2">
        <f>IF(A100="","",COUNTIF(Activities!$B:$B,A100))</f>
        <v/>
      </c>
      <c r="BG100" s="2">
        <f>IF(COUNTA(BH100:BK100)=0,"",ROUND(AVERAGE(BH100:BK100),0))</f>
        <v/>
      </c>
      <c r="BH100" s="2">
        <f>IF(BL100="","",IF(BL100&gt;=90,"HOT",IF(BL100&gt;=75,"HIGH",IF(BL100&gt;=50,"MEDIUM","LOW"))))</f>
        <v/>
      </c>
      <c r="BL100" s="2">
        <f>IFERROR(BN100/12,"")</f>
        <v/>
      </c>
      <c r="BP100" s="15" t="n"/>
    </row>
    <row r="101" ht="15.75" customHeight="1" s="19">
      <c r="AD101" s="13" t="n"/>
      <c r="AE101" s="13">
        <f>IF(A101="","",IFERROR(MAXIFS(Activities!$D:$D,Activities!$B:$B,A101),""))</f>
        <v/>
      </c>
      <c r="AF101" s="13">
        <f>IF(A101="","",IFERROR(MINIFS(Follow_Ups!$G:$G,Follow_Ups!$B:$B,A101,Follow_Ups!$H:$H,"&lt;&gt;Completed",Follow_Ups!$G:$G,"&gt;="&amp;TODAY()),""))</f>
        <v/>
      </c>
      <c r="AG101" s="2">
        <f>IF(A101="","",COUNTIF(Activities!$B:$B,A101))</f>
        <v/>
      </c>
      <c r="BG101" s="2">
        <f>IF(COUNTA(BH101:BK101)=0,"",ROUND(AVERAGE(BH101:BK101),0))</f>
        <v/>
      </c>
      <c r="BH101" s="2">
        <f>IF(BL101="","",IF(BL101&gt;=90,"HOT",IF(BL101&gt;=75,"HIGH",IF(BL101&gt;=50,"MEDIUM","LOW"))))</f>
        <v/>
      </c>
      <c r="BL101" s="2">
        <f>IFERROR(BN101/12,"")</f>
        <v/>
      </c>
      <c r="BP101" s="15" t="n"/>
    </row>
    <row r="102" ht="15.75" customHeight="1" s="19">
      <c r="AD102" s="13" t="n"/>
      <c r="AE102" s="13">
        <f>IF(A102="","",IFERROR(MAXIFS(Activities!$D:$D,Activities!$B:$B,A102),""))</f>
        <v/>
      </c>
      <c r="AF102" s="13">
        <f>IF(A102="","",IFERROR(MINIFS(Follow_Ups!$G:$G,Follow_Ups!$B:$B,A102,Follow_Ups!$H:$H,"&lt;&gt;Completed",Follow_Ups!$G:$G,"&gt;="&amp;TODAY()),""))</f>
        <v/>
      </c>
      <c r="AG102" s="2">
        <f>IF(A102="","",COUNTIF(Activities!$B:$B,A102))</f>
        <v/>
      </c>
      <c r="BG102" s="2">
        <f>IF(COUNTA(BH102:BK102)=0,"",ROUND(AVERAGE(BH102:BK102),0))</f>
        <v/>
      </c>
      <c r="BH102" s="2">
        <f>IF(BL102="","",IF(BL102&gt;=90,"HOT",IF(BL102&gt;=75,"HIGH",IF(BL102&gt;=50,"MEDIUM","LOW"))))</f>
        <v/>
      </c>
      <c r="BL102" s="2">
        <f>IFERROR(BN102/12,"")</f>
        <v/>
      </c>
      <c r="BP102" s="15" t="n"/>
    </row>
    <row r="103" ht="15.75" customHeight="1" s="19">
      <c r="AD103" s="13" t="n"/>
      <c r="AE103" s="13">
        <f>IF(A103="","",IFERROR(MAXIFS(Activities!$D:$D,Activities!$B:$B,A103),""))</f>
        <v/>
      </c>
      <c r="AF103" s="13">
        <f>IF(A103="","",IFERROR(MINIFS(Follow_Ups!$G:$G,Follow_Ups!$B:$B,A103,Follow_Ups!$H:$H,"&lt;&gt;Completed",Follow_Ups!$G:$G,"&gt;="&amp;TODAY()),""))</f>
        <v/>
      </c>
      <c r="AG103" s="2">
        <f>IF(A103="","",COUNTIF(Activities!$B:$B,A103))</f>
        <v/>
      </c>
      <c r="BG103" s="2">
        <f>IF(COUNTA(BH103:BK103)=0,"",ROUND(AVERAGE(BH103:BK103),0))</f>
        <v/>
      </c>
      <c r="BH103" s="2">
        <f>IF(BL103="","",IF(BL103&gt;=90,"HOT",IF(BL103&gt;=75,"HIGH",IF(BL103&gt;=50,"MEDIUM","LOW"))))</f>
        <v/>
      </c>
      <c r="BL103" s="2">
        <f>IFERROR(BN103/12,"")</f>
        <v/>
      </c>
      <c r="BP103" s="15" t="n"/>
    </row>
    <row r="104" ht="15.75" customHeight="1" s="19">
      <c r="AD104" s="13" t="n"/>
      <c r="AE104" s="13">
        <f>IF(A104="","",IFERROR(MAXIFS(Activities!$D:$D,Activities!$B:$B,A104),""))</f>
        <v/>
      </c>
      <c r="AF104" s="13">
        <f>IF(A104="","",IFERROR(MINIFS(Follow_Ups!$G:$G,Follow_Ups!$B:$B,A104,Follow_Ups!$H:$H,"&lt;&gt;Completed",Follow_Ups!$G:$G,"&gt;="&amp;TODAY()),""))</f>
        <v/>
      </c>
      <c r="AG104" s="2">
        <f>IF(A104="","",COUNTIF(Activities!$B:$B,A104))</f>
        <v/>
      </c>
      <c r="BG104" s="2">
        <f>IF(COUNTA(BH104:BK104)=0,"",ROUND(AVERAGE(BH104:BK104),0))</f>
        <v/>
      </c>
      <c r="BH104" s="2">
        <f>IF(BL104="","",IF(BL104&gt;=90,"HOT",IF(BL104&gt;=75,"HIGH",IF(BL104&gt;=50,"MEDIUM","LOW"))))</f>
        <v/>
      </c>
      <c r="BL104" s="2">
        <f>IFERROR(BN104/12,"")</f>
        <v/>
      </c>
      <c r="BP104" s="15" t="n"/>
    </row>
    <row r="105" ht="15.75" customHeight="1" s="19">
      <c r="AD105" s="13" t="n"/>
      <c r="AE105" s="13">
        <f>IF(A105="","",IFERROR(MAXIFS(Activities!$D:$D,Activities!$B:$B,A105),""))</f>
        <v/>
      </c>
      <c r="AF105" s="13">
        <f>IF(A105="","",IFERROR(MINIFS(Follow_Ups!$G:$G,Follow_Ups!$B:$B,A105,Follow_Ups!$H:$H,"&lt;&gt;Completed",Follow_Ups!$G:$G,"&gt;="&amp;TODAY()),""))</f>
        <v/>
      </c>
      <c r="AG105" s="2">
        <f>IF(A105="","",COUNTIF(Activities!$B:$B,A105))</f>
        <v/>
      </c>
      <c r="BG105" s="2">
        <f>IF(COUNTA(BH105:BK105)=0,"",ROUND(AVERAGE(BH105:BK105),0))</f>
        <v/>
      </c>
      <c r="BH105" s="2">
        <f>IF(BL105="","",IF(BL105&gt;=90,"HOT",IF(BL105&gt;=75,"HIGH",IF(BL105&gt;=50,"MEDIUM","LOW"))))</f>
        <v/>
      </c>
      <c r="BL105" s="2">
        <f>IFERROR(BN105/12,"")</f>
        <v/>
      </c>
      <c r="BP105" s="15" t="n"/>
    </row>
    <row r="106" ht="15.75" customHeight="1" s="19">
      <c r="AD106" s="13" t="n"/>
      <c r="AE106" s="13">
        <f>IF(A106="","",IFERROR(MAXIFS(Activities!$D:$D,Activities!$B:$B,A106),""))</f>
        <v/>
      </c>
      <c r="AF106" s="13">
        <f>IF(A106="","",IFERROR(MINIFS(Follow_Ups!$G:$G,Follow_Ups!$B:$B,A106,Follow_Ups!$H:$H,"&lt;&gt;Completed",Follow_Ups!$G:$G,"&gt;="&amp;TODAY()),""))</f>
        <v/>
      </c>
      <c r="AG106" s="2">
        <f>IF(A106="","",COUNTIF(Activities!$B:$B,A106))</f>
        <v/>
      </c>
      <c r="BG106" s="2">
        <f>IF(COUNTA(BH106:BK106)=0,"",ROUND(AVERAGE(BH106:BK106),0))</f>
        <v/>
      </c>
      <c r="BH106" s="2">
        <f>IF(BL106="","",IF(BL106&gt;=90,"HOT",IF(BL106&gt;=75,"HIGH",IF(BL106&gt;=50,"MEDIUM","LOW"))))</f>
        <v/>
      </c>
      <c r="BL106" s="2">
        <f>IFERROR(BN106/12,"")</f>
        <v/>
      </c>
      <c r="BP106" s="15" t="n"/>
    </row>
    <row r="107" ht="15.75" customHeight="1" s="19">
      <c r="AD107" s="13" t="n"/>
      <c r="AE107" s="13">
        <f>IF(A107="","",IFERROR(MAXIFS(Activities!$D:$D,Activities!$B:$B,A107),""))</f>
        <v/>
      </c>
      <c r="AF107" s="13">
        <f>IF(A107="","",IFERROR(MINIFS(Follow_Ups!$G:$G,Follow_Ups!$B:$B,A107,Follow_Ups!$H:$H,"&lt;&gt;Completed",Follow_Ups!$G:$G,"&gt;="&amp;TODAY()),""))</f>
        <v/>
      </c>
      <c r="AG107" s="2">
        <f>IF(A107="","",COUNTIF(Activities!$B:$B,A107))</f>
        <v/>
      </c>
      <c r="BG107" s="2">
        <f>IF(COUNTA(BH107:BK107)=0,"",ROUND(AVERAGE(BH107:BK107),0))</f>
        <v/>
      </c>
      <c r="BH107" s="2">
        <f>IF(BL107="","",IF(BL107&gt;=90,"HOT",IF(BL107&gt;=75,"HIGH",IF(BL107&gt;=50,"MEDIUM","LOW"))))</f>
        <v/>
      </c>
      <c r="BL107" s="2">
        <f>IFERROR(BN107/12,"")</f>
        <v/>
      </c>
      <c r="BP107" s="15" t="n"/>
    </row>
    <row r="108" ht="15.75" customHeight="1" s="19">
      <c r="AD108" s="13" t="n"/>
      <c r="AE108" s="13">
        <f>IF(A108="","",IFERROR(MAXIFS(Activities!$D:$D,Activities!$B:$B,A108),""))</f>
        <v/>
      </c>
      <c r="AF108" s="13">
        <f>IF(A108="","",IFERROR(MINIFS(Follow_Ups!$G:$G,Follow_Ups!$B:$B,A108,Follow_Ups!$H:$H,"&lt;&gt;Completed",Follow_Ups!$G:$G,"&gt;="&amp;TODAY()),""))</f>
        <v/>
      </c>
      <c r="AG108" s="2">
        <f>IF(A108="","",COUNTIF(Activities!$B:$B,A108))</f>
        <v/>
      </c>
      <c r="BG108" s="2">
        <f>IF(COUNTA(BH108:BK108)=0,"",ROUND(AVERAGE(BH108:BK108),0))</f>
        <v/>
      </c>
      <c r="BH108" s="2">
        <f>IF(BL108="","",IF(BL108&gt;=90,"HOT",IF(BL108&gt;=75,"HIGH",IF(BL108&gt;=50,"MEDIUM","LOW"))))</f>
        <v/>
      </c>
      <c r="BL108" s="2">
        <f>IFERROR(BN108/12,"")</f>
        <v/>
      </c>
      <c r="BP108" s="15" t="n"/>
    </row>
    <row r="109" ht="15.75" customHeight="1" s="19">
      <c r="AD109" s="13" t="n"/>
      <c r="AE109" s="13">
        <f>IF(A109="","",IFERROR(MAXIFS(Activities!$D:$D,Activities!$B:$B,A109),""))</f>
        <v/>
      </c>
      <c r="AF109" s="13">
        <f>IF(A109="","",IFERROR(MINIFS(Follow_Ups!$G:$G,Follow_Ups!$B:$B,A109,Follow_Ups!$H:$H,"&lt;&gt;Completed",Follow_Ups!$G:$G,"&gt;="&amp;TODAY()),""))</f>
        <v/>
      </c>
      <c r="AG109" s="2">
        <f>IF(A109="","",COUNTIF(Activities!$B:$B,A109))</f>
        <v/>
      </c>
      <c r="BG109" s="2">
        <f>IF(COUNTA(BH109:BK109)=0,"",ROUND(AVERAGE(BH109:BK109),0))</f>
        <v/>
      </c>
      <c r="BH109" s="2">
        <f>IF(BL109="","",IF(BL109&gt;=90,"HOT",IF(BL109&gt;=75,"HIGH",IF(BL109&gt;=50,"MEDIUM","LOW"))))</f>
        <v/>
      </c>
      <c r="BL109" s="2">
        <f>IFERROR(BN109/12,"")</f>
        <v/>
      </c>
      <c r="BP109" s="15" t="n"/>
    </row>
    <row r="110" ht="15.75" customHeight="1" s="19">
      <c r="AD110" s="13" t="n"/>
      <c r="AE110" s="13">
        <f>IF(A110="","",IFERROR(MAXIFS(Activities!$D:$D,Activities!$B:$B,A110),""))</f>
        <v/>
      </c>
      <c r="AF110" s="13">
        <f>IF(A110="","",IFERROR(MINIFS(Follow_Ups!$G:$G,Follow_Ups!$B:$B,A110,Follow_Ups!$H:$H,"&lt;&gt;Completed",Follow_Ups!$G:$G,"&gt;="&amp;TODAY()),""))</f>
        <v/>
      </c>
      <c r="AG110" s="2">
        <f>IF(A110="","",COUNTIF(Activities!$B:$B,A110))</f>
        <v/>
      </c>
      <c r="BG110" s="2">
        <f>IF(COUNTA(BH110:BK110)=0,"",ROUND(AVERAGE(BH110:BK110),0))</f>
        <v/>
      </c>
      <c r="BH110" s="2">
        <f>IF(BL110="","",IF(BL110&gt;=90,"HOT",IF(BL110&gt;=75,"HIGH",IF(BL110&gt;=50,"MEDIUM","LOW"))))</f>
        <v/>
      </c>
      <c r="BL110" s="2">
        <f>IFERROR(BN110/12,"")</f>
        <v/>
      </c>
      <c r="BP110" s="15" t="n"/>
    </row>
    <row r="111" ht="15.75" customHeight="1" s="19">
      <c r="AD111" s="13" t="n"/>
      <c r="AE111" s="13">
        <f>IF(A111="","",IFERROR(MAXIFS(Activities!$D:$D,Activities!$B:$B,A111),""))</f>
        <v/>
      </c>
      <c r="AF111" s="13">
        <f>IF(A111="","",IFERROR(MINIFS(Follow_Ups!$G:$G,Follow_Ups!$B:$B,A111,Follow_Ups!$H:$H,"&lt;&gt;Completed",Follow_Ups!$G:$G,"&gt;="&amp;TODAY()),""))</f>
        <v/>
      </c>
      <c r="AG111" s="2">
        <f>IF(A111="","",COUNTIF(Activities!$B:$B,A111))</f>
        <v/>
      </c>
      <c r="BG111" s="2">
        <f>IF(COUNTA(BH111:BK111)=0,"",ROUND(AVERAGE(BH111:BK111),0))</f>
        <v/>
      </c>
      <c r="BH111" s="2">
        <f>IF(BL111="","",IF(BL111&gt;=90,"HOT",IF(BL111&gt;=75,"HIGH",IF(BL111&gt;=50,"MEDIUM","LOW"))))</f>
        <v/>
      </c>
      <c r="BL111" s="2">
        <f>IFERROR(BN111/12,"")</f>
        <v/>
      </c>
      <c r="BP111" s="15" t="n"/>
    </row>
    <row r="112" ht="15.75" customHeight="1" s="19">
      <c r="AD112" s="13" t="n"/>
      <c r="AE112" s="13">
        <f>IF(A112="","",IFERROR(MAXIFS(Activities!$D:$D,Activities!$B:$B,A112),""))</f>
        <v/>
      </c>
      <c r="AF112" s="13">
        <f>IF(A112="","",IFERROR(MINIFS(Follow_Ups!$G:$G,Follow_Ups!$B:$B,A112,Follow_Ups!$H:$H,"&lt;&gt;Completed",Follow_Ups!$G:$G,"&gt;="&amp;TODAY()),""))</f>
        <v/>
      </c>
      <c r="AG112" s="2">
        <f>IF(A112="","",COUNTIF(Activities!$B:$B,A112))</f>
        <v/>
      </c>
      <c r="BG112" s="2">
        <f>IF(COUNTA(BH112:BK112)=0,"",ROUND(AVERAGE(BH112:BK112),0))</f>
        <v/>
      </c>
      <c r="BH112" s="2">
        <f>IF(BL112="","",IF(BL112&gt;=90,"HOT",IF(BL112&gt;=75,"HIGH",IF(BL112&gt;=50,"MEDIUM","LOW"))))</f>
        <v/>
      </c>
      <c r="BL112" s="2">
        <f>IFERROR(BN112/12,"")</f>
        <v/>
      </c>
      <c r="BP112" s="15" t="n"/>
    </row>
    <row r="113" ht="15.75" customHeight="1" s="19">
      <c r="AD113" s="13" t="n"/>
      <c r="AE113" s="13">
        <f>IF(A113="","",IFERROR(MAXIFS(Activities!$D:$D,Activities!$B:$B,A113),""))</f>
        <v/>
      </c>
      <c r="AF113" s="13">
        <f>IF(A113="","",IFERROR(MINIFS(Follow_Ups!$G:$G,Follow_Ups!$B:$B,A113,Follow_Ups!$H:$H,"&lt;&gt;Completed",Follow_Ups!$G:$G,"&gt;="&amp;TODAY()),""))</f>
        <v/>
      </c>
      <c r="AG113" s="2">
        <f>IF(A113="","",COUNTIF(Activities!$B:$B,A113))</f>
        <v/>
      </c>
      <c r="BG113" s="2">
        <f>IF(COUNTA(BH113:BK113)=0,"",ROUND(AVERAGE(BH113:BK113),0))</f>
        <v/>
      </c>
      <c r="BH113" s="2">
        <f>IF(BL113="","",IF(BL113&gt;=90,"HOT",IF(BL113&gt;=75,"HIGH",IF(BL113&gt;=50,"MEDIUM","LOW"))))</f>
        <v/>
      </c>
      <c r="BL113" s="2">
        <f>IFERROR(BN113/12,"")</f>
        <v/>
      </c>
      <c r="BP113" s="15" t="n"/>
    </row>
    <row r="114" ht="15.75" customHeight="1" s="19">
      <c r="AD114" s="13" t="n"/>
      <c r="AE114" s="13">
        <f>IF(A114="","",IFERROR(MAXIFS(Activities!$D:$D,Activities!$B:$B,A114),""))</f>
        <v/>
      </c>
      <c r="AF114" s="13">
        <f>IF(A114="","",IFERROR(MINIFS(Follow_Ups!$G:$G,Follow_Ups!$B:$B,A114,Follow_Ups!$H:$H,"&lt;&gt;Completed",Follow_Ups!$G:$G,"&gt;="&amp;TODAY()),""))</f>
        <v/>
      </c>
      <c r="AG114" s="2">
        <f>IF(A114="","",COUNTIF(Activities!$B:$B,A114))</f>
        <v/>
      </c>
      <c r="BG114" s="2">
        <f>IF(COUNTA(BH114:BK114)=0,"",ROUND(AVERAGE(BH114:BK114),0))</f>
        <v/>
      </c>
      <c r="BH114" s="2">
        <f>IF(BL114="","",IF(BL114&gt;=90,"HOT",IF(BL114&gt;=75,"HIGH",IF(BL114&gt;=50,"MEDIUM","LOW"))))</f>
        <v/>
      </c>
      <c r="BL114" s="2">
        <f>IFERROR(BN114/12,"")</f>
        <v/>
      </c>
      <c r="BP114" s="15" t="n"/>
    </row>
    <row r="115" ht="15.75" customHeight="1" s="19">
      <c r="AD115" s="13" t="n"/>
      <c r="AE115" s="13">
        <f>IF(A115="","",IFERROR(MAXIFS(Activities!$D:$D,Activities!$B:$B,A115),""))</f>
        <v/>
      </c>
      <c r="AF115" s="13">
        <f>IF(A115="","",IFERROR(MINIFS(Follow_Ups!$G:$G,Follow_Ups!$B:$B,A115,Follow_Ups!$H:$H,"&lt;&gt;Completed",Follow_Ups!$G:$G,"&gt;="&amp;TODAY()),""))</f>
        <v/>
      </c>
      <c r="AG115" s="2">
        <f>IF(A115="","",COUNTIF(Activities!$B:$B,A115))</f>
        <v/>
      </c>
      <c r="BG115" s="2">
        <f>IF(COUNTA(BH115:BK115)=0,"",ROUND(AVERAGE(BH115:BK115),0))</f>
        <v/>
      </c>
      <c r="BH115" s="2">
        <f>IF(BL115="","",IF(BL115&gt;=90,"HOT",IF(BL115&gt;=75,"HIGH",IF(BL115&gt;=50,"MEDIUM","LOW"))))</f>
        <v/>
      </c>
      <c r="BL115" s="2">
        <f>IFERROR(BN115/12,"")</f>
        <v/>
      </c>
      <c r="BP115" s="15" t="n"/>
    </row>
    <row r="116" ht="15.75" customHeight="1" s="19">
      <c r="AD116" s="13" t="n"/>
      <c r="AE116" s="13">
        <f>IF(A116="","",IFERROR(MAXIFS(Activities!$D:$D,Activities!$B:$B,A116),""))</f>
        <v/>
      </c>
      <c r="AF116" s="13">
        <f>IF(A116="","",IFERROR(MINIFS(Follow_Ups!$G:$G,Follow_Ups!$B:$B,A116,Follow_Ups!$H:$H,"&lt;&gt;Completed",Follow_Ups!$G:$G,"&gt;="&amp;TODAY()),""))</f>
        <v/>
      </c>
      <c r="AG116" s="2">
        <f>IF(A116="","",COUNTIF(Activities!$B:$B,A116))</f>
        <v/>
      </c>
      <c r="BG116" s="2">
        <f>IF(COUNTA(BH116:BK116)=0,"",ROUND(AVERAGE(BH116:BK116),0))</f>
        <v/>
      </c>
      <c r="BH116" s="2">
        <f>IF(BL116="","",IF(BL116&gt;=90,"HOT",IF(BL116&gt;=75,"HIGH",IF(BL116&gt;=50,"MEDIUM","LOW"))))</f>
        <v/>
      </c>
      <c r="BL116" s="2">
        <f>IFERROR(BN116/12,"")</f>
        <v/>
      </c>
      <c r="BP116" s="15" t="n"/>
    </row>
    <row r="117" ht="15.75" customHeight="1" s="19">
      <c r="AD117" s="13" t="n"/>
      <c r="AE117" s="13">
        <f>IF(A117="","",IFERROR(MAXIFS(Activities!$D:$D,Activities!$B:$B,A117),""))</f>
        <v/>
      </c>
      <c r="AF117" s="13">
        <f>IF(A117="","",IFERROR(MINIFS(Follow_Ups!$G:$G,Follow_Ups!$B:$B,A117,Follow_Ups!$H:$H,"&lt;&gt;Completed",Follow_Ups!$G:$G,"&gt;="&amp;TODAY()),""))</f>
        <v/>
      </c>
      <c r="AG117" s="2">
        <f>IF(A117="","",COUNTIF(Activities!$B:$B,A117))</f>
        <v/>
      </c>
      <c r="BG117" s="2">
        <f>IF(COUNTA(BH117:BK117)=0,"",ROUND(AVERAGE(BH117:BK117),0))</f>
        <v/>
      </c>
      <c r="BH117" s="2">
        <f>IF(BL117="","",IF(BL117&gt;=90,"HOT",IF(BL117&gt;=75,"HIGH",IF(BL117&gt;=50,"MEDIUM","LOW"))))</f>
        <v/>
      </c>
      <c r="BL117" s="2">
        <f>IFERROR(BN117/12,"")</f>
        <v/>
      </c>
      <c r="BP117" s="15" t="n"/>
    </row>
    <row r="118" ht="15.75" customHeight="1" s="19">
      <c r="AD118" s="13" t="n"/>
      <c r="AE118" s="13">
        <f>IF(A118="","",IFERROR(MAXIFS(Activities!$D:$D,Activities!$B:$B,A118),""))</f>
        <v/>
      </c>
      <c r="AF118" s="13">
        <f>IF(A118="","",IFERROR(MINIFS(Follow_Ups!$G:$G,Follow_Ups!$B:$B,A118,Follow_Ups!$H:$H,"&lt;&gt;Completed",Follow_Ups!$G:$G,"&gt;="&amp;TODAY()),""))</f>
        <v/>
      </c>
      <c r="AG118" s="2">
        <f>IF(A118="","",COUNTIF(Activities!$B:$B,A118))</f>
        <v/>
      </c>
      <c r="BG118" s="2">
        <f>IF(COUNTA(BH118:BK118)=0,"",ROUND(AVERAGE(BH118:BK118),0))</f>
        <v/>
      </c>
      <c r="BH118" s="2">
        <f>IF(BL118="","",IF(BL118&gt;=90,"HOT",IF(BL118&gt;=75,"HIGH",IF(BL118&gt;=50,"MEDIUM","LOW"))))</f>
        <v/>
      </c>
      <c r="BL118" s="2">
        <f>IFERROR(BN118/12,"")</f>
        <v/>
      </c>
      <c r="BP118" s="15" t="n"/>
    </row>
    <row r="119" ht="15.75" customHeight="1" s="19">
      <c r="AD119" s="13" t="n"/>
      <c r="AE119" s="13">
        <f>IF(A119="","",IFERROR(MAXIFS(Activities!$D:$D,Activities!$B:$B,A119),""))</f>
        <v/>
      </c>
      <c r="AF119" s="13">
        <f>IF(A119="","",IFERROR(MINIFS(Follow_Ups!$G:$G,Follow_Ups!$B:$B,A119,Follow_Ups!$H:$H,"&lt;&gt;Completed",Follow_Ups!$G:$G,"&gt;="&amp;TODAY()),""))</f>
        <v/>
      </c>
      <c r="AG119" s="2">
        <f>IF(A119="","",COUNTIF(Activities!$B:$B,A119))</f>
        <v/>
      </c>
      <c r="BG119" s="2">
        <f>IF(COUNTA(BH119:BK119)=0,"",ROUND(AVERAGE(BH119:BK119),0))</f>
        <v/>
      </c>
      <c r="BH119" s="2">
        <f>IF(BL119="","",IF(BL119&gt;=90,"HOT",IF(BL119&gt;=75,"HIGH",IF(BL119&gt;=50,"MEDIUM","LOW"))))</f>
        <v/>
      </c>
      <c r="BL119" s="2">
        <f>IFERROR(BN119/12,"")</f>
        <v/>
      </c>
      <c r="BP119" s="15" t="n"/>
    </row>
    <row r="120" ht="15.75" customHeight="1" s="19">
      <c r="AD120" s="13" t="n"/>
      <c r="AE120" s="13">
        <f>IF(A120="","",IFERROR(MAXIFS(Activities!$D:$D,Activities!$B:$B,A120),""))</f>
        <v/>
      </c>
      <c r="AF120" s="13">
        <f>IF(A120="","",IFERROR(MINIFS(Follow_Ups!$G:$G,Follow_Ups!$B:$B,A120,Follow_Ups!$H:$H,"&lt;&gt;Completed",Follow_Ups!$G:$G,"&gt;="&amp;TODAY()),""))</f>
        <v/>
      </c>
      <c r="AG120" s="2">
        <f>IF(A120="","",COUNTIF(Activities!$B:$B,A120))</f>
        <v/>
      </c>
      <c r="BG120" s="2">
        <f>IF(COUNTA(BH120:BK120)=0,"",ROUND(AVERAGE(BH120:BK120),0))</f>
        <v/>
      </c>
      <c r="BH120" s="2">
        <f>IF(BL120="","",IF(BL120&gt;=90,"HOT",IF(BL120&gt;=75,"HIGH",IF(BL120&gt;=50,"MEDIUM","LOW"))))</f>
        <v/>
      </c>
      <c r="BL120" s="2">
        <f>IFERROR(BN120/12,"")</f>
        <v/>
      </c>
      <c r="BP120" s="15" t="n"/>
    </row>
    <row r="121" ht="15.75" customHeight="1" s="19">
      <c r="AD121" s="13" t="n"/>
      <c r="AE121" s="13">
        <f>IF(A121="","",IFERROR(MAXIFS(Activities!$D:$D,Activities!$B:$B,A121),""))</f>
        <v/>
      </c>
      <c r="AF121" s="13">
        <f>IF(A121="","",IFERROR(MINIFS(Follow_Ups!$G:$G,Follow_Ups!$B:$B,A121,Follow_Ups!$H:$H,"&lt;&gt;Completed",Follow_Ups!$G:$G,"&gt;="&amp;TODAY()),""))</f>
        <v/>
      </c>
      <c r="AG121" s="2">
        <f>IF(A121="","",COUNTIF(Activities!$B:$B,A121))</f>
        <v/>
      </c>
      <c r="BG121" s="2">
        <f>IF(COUNTA(BH121:BK121)=0,"",ROUND(AVERAGE(BH121:BK121),0))</f>
        <v/>
      </c>
      <c r="BH121" s="2">
        <f>IF(BL121="","",IF(BL121&gt;=90,"HOT",IF(BL121&gt;=75,"HIGH",IF(BL121&gt;=50,"MEDIUM","LOW"))))</f>
        <v/>
      </c>
      <c r="BL121" s="2">
        <f>IFERROR(BN121/12,"")</f>
        <v/>
      </c>
      <c r="BP121" s="15" t="n"/>
    </row>
    <row r="122" ht="15.75" customHeight="1" s="19">
      <c r="AD122" s="13" t="n"/>
      <c r="AE122" s="13">
        <f>IF(A122="","",IFERROR(MAXIFS(Activities!$D:$D,Activities!$B:$B,A122),""))</f>
        <v/>
      </c>
      <c r="AF122" s="13">
        <f>IF(A122="","",IFERROR(MINIFS(Follow_Ups!$G:$G,Follow_Ups!$B:$B,A122,Follow_Ups!$H:$H,"&lt;&gt;Completed",Follow_Ups!$G:$G,"&gt;="&amp;TODAY()),""))</f>
        <v/>
      </c>
      <c r="AG122" s="2">
        <f>IF(A122="","",COUNTIF(Activities!$B:$B,A122))</f>
        <v/>
      </c>
      <c r="BG122" s="2">
        <f>IF(COUNTA(BH122:BK122)=0,"",ROUND(AVERAGE(BH122:BK122),0))</f>
        <v/>
      </c>
      <c r="BH122" s="2">
        <f>IF(BL122="","",IF(BL122&gt;=90,"HOT",IF(BL122&gt;=75,"HIGH",IF(BL122&gt;=50,"MEDIUM","LOW"))))</f>
        <v/>
      </c>
      <c r="BL122" s="2">
        <f>IFERROR(BN122/12,"")</f>
        <v/>
      </c>
      <c r="BP122" s="15" t="n"/>
    </row>
    <row r="123" ht="15.75" customHeight="1" s="19">
      <c r="AD123" s="13" t="n"/>
      <c r="AE123" s="13">
        <f>IF(A123="","",IFERROR(MAXIFS(Activities!$D:$D,Activities!$B:$B,A123),""))</f>
        <v/>
      </c>
      <c r="AF123" s="13">
        <f>IF(A123="","",IFERROR(MINIFS(Follow_Ups!$G:$G,Follow_Ups!$B:$B,A123,Follow_Ups!$H:$H,"&lt;&gt;Completed",Follow_Ups!$G:$G,"&gt;="&amp;TODAY()),""))</f>
        <v/>
      </c>
      <c r="AG123" s="2">
        <f>IF(A123="","",COUNTIF(Activities!$B:$B,A123))</f>
        <v/>
      </c>
      <c r="BG123" s="2">
        <f>IF(COUNTA(BH123:BK123)=0,"",ROUND(AVERAGE(BH123:BK123),0))</f>
        <v/>
      </c>
      <c r="BH123" s="2">
        <f>IF(BL123="","",IF(BL123&gt;=90,"HOT",IF(BL123&gt;=75,"HIGH",IF(BL123&gt;=50,"MEDIUM","LOW"))))</f>
        <v/>
      </c>
      <c r="BL123" s="2">
        <f>IFERROR(BN123/12,"")</f>
        <v/>
      </c>
      <c r="BP123" s="15" t="n"/>
    </row>
    <row r="124" ht="15.75" customHeight="1" s="19">
      <c r="AD124" s="13" t="n"/>
      <c r="AE124" s="13">
        <f>IF(A124="","",IFERROR(MAXIFS(Activities!$D:$D,Activities!$B:$B,A124),""))</f>
        <v/>
      </c>
      <c r="AF124" s="13">
        <f>IF(A124="","",IFERROR(MINIFS(Follow_Ups!$G:$G,Follow_Ups!$B:$B,A124,Follow_Ups!$H:$H,"&lt;&gt;Completed",Follow_Ups!$G:$G,"&gt;="&amp;TODAY()),""))</f>
        <v/>
      </c>
      <c r="AG124" s="2">
        <f>IF(A124="","",COUNTIF(Activities!$B:$B,A124))</f>
        <v/>
      </c>
      <c r="BG124" s="2">
        <f>IF(COUNTA(BH124:BK124)=0,"",ROUND(AVERAGE(BH124:BK124),0))</f>
        <v/>
      </c>
      <c r="BH124" s="2">
        <f>IF(BL124="","",IF(BL124&gt;=90,"HOT",IF(BL124&gt;=75,"HIGH",IF(BL124&gt;=50,"MEDIUM","LOW"))))</f>
        <v/>
      </c>
      <c r="BL124" s="2">
        <f>IFERROR(BN124/12,"")</f>
        <v/>
      </c>
      <c r="BP124" s="15" t="n"/>
    </row>
    <row r="125" ht="15.75" customHeight="1" s="19">
      <c r="AD125" s="13" t="n"/>
      <c r="AE125" s="13">
        <f>IF(A125="","",IFERROR(MAXIFS(Activities!$D:$D,Activities!$B:$B,A125),""))</f>
        <v/>
      </c>
      <c r="AF125" s="13">
        <f>IF(A125="","",IFERROR(MINIFS(Follow_Ups!$G:$G,Follow_Ups!$B:$B,A125,Follow_Ups!$H:$H,"&lt;&gt;Completed",Follow_Ups!$G:$G,"&gt;="&amp;TODAY()),""))</f>
        <v/>
      </c>
      <c r="AG125" s="2">
        <f>IF(A125="","",COUNTIF(Activities!$B:$B,A125))</f>
        <v/>
      </c>
      <c r="BG125" s="2">
        <f>IF(COUNTA(BH125:BK125)=0,"",ROUND(AVERAGE(BH125:BK125),0))</f>
        <v/>
      </c>
      <c r="BH125" s="2">
        <f>IF(BL125="","",IF(BL125&gt;=90,"HOT",IF(BL125&gt;=75,"HIGH",IF(BL125&gt;=50,"MEDIUM","LOW"))))</f>
        <v/>
      </c>
      <c r="BL125" s="2">
        <f>IFERROR(BN125/12,"")</f>
        <v/>
      </c>
      <c r="BP125" s="15" t="n"/>
    </row>
    <row r="126" ht="15.75" customHeight="1" s="19">
      <c r="AD126" s="13" t="n"/>
      <c r="AE126" s="13">
        <f>IF(A126="","",IFERROR(MAXIFS(Activities!$D:$D,Activities!$B:$B,A126),""))</f>
        <v/>
      </c>
      <c r="AF126" s="13">
        <f>IF(A126="","",IFERROR(MINIFS(Follow_Ups!$G:$G,Follow_Ups!$B:$B,A126,Follow_Ups!$H:$H,"&lt;&gt;Completed",Follow_Ups!$G:$G,"&gt;="&amp;TODAY()),""))</f>
        <v/>
      </c>
      <c r="AG126" s="2">
        <f>IF(A126="","",COUNTIF(Activities!$B:$B,A126))</f>
        <v/>
      </c>
      <c r="BG126" s="2">
        <f>IF(COUNTA(BH126:BK126)=0,"",ROUND(AVERAGE(BH126:BK126),0))</f>
        <v/>
      </c>
      <c r="BH126" s="2">
        <f>IF(BL126="","",IF(BL126&gt;=90,"HOT",IF(BL126&gt;=75,"HIGH",IF(BL126&gt;=50,"MEDIUM","LOW"))))</f>
        <v/>
      </c>
      <c r="BL126" s="2">
        <f>IFERROR(BN126/12,"")</f>
        <v/>
      </c>
      <c r="BP126" s="15" t="n"/>
    </row>
    <row r="127" ht="15.75" customHeight="1" s="19">
      <c r="AD127" s="13" t="n"/>
      <c r="AE127" s="13">
        <f>IF(A127="","",IFERROR(MAXIFS(Activities!$D:$D,Activities!$B:$B,A127),""))</f>
        <v/>
      </c>
      <c r="AF127" s="13">
        <f>IF(A127="","",IFERROR(MINIFS(Follow_Ups!$G:$G,Follow_Ups!$B:$B,A127,Follow_Ups!$H:$H,"&lt;&gt;Completed",Follow_Ups!$G:$G,"&gt;="&amp;TODAY()),""))</f>
        <v/>
      </c>
      <c r="AG127" s="2">
        <f>IF(A127="","",COUNTIF(Activities!$B:$B,A127))</f>
        <v/>
      </c>
      <c r="BG127" s="2">
        <f>IF(COUNTA(BH127:BK127)=0,"",ROUND(AVERAGE(BH127:BK127),0))</f>
        <v/>
      </c>
      <c r="BH127" s="2">
        <f>IF(BL127="","",IF(BL127&gt;=90,"HOT",IF(BL127&gt;=75,"HIGH",IF(BL127&gt;=50,"MEDIUM","LOW"))))</f>
        <v/>
      </c>
      <c r="BL127" s="2">
        <f>IFERROR(BN127/12,"")</f>
        <v/>
      </c>
      <c r="BP127" s="15" t="n"/>
    </row>
    <row r="128" ht="15.75" customHeight="1" s="19">
      <c r="AD128" s="13" t="n"/>
      <c r="AE128" s="13">
        <f>IF(A128="","",IFERROR(MAXIFS(Activities!$D:$D,Activities!$B:$B,A128),""))</f>
        <v/>
      </c>
      <c r="AF128" s="13">
        <f>IF(A128="","",IFERROR(MINIFS(Follow_Ups!$G:$G,Follow_Ups!$B:$B,A128,Follow_Ups!$H:$H,"&lt;&gt;Completed",Follow_Ups!$G:$G,"&gt;="&amp;TODAY()),""))</f>
        <v/>
      </c>
      <c r="AG128" s="2">
        <f>IF(A128="","",COUNTIF(Activities!$B:$B,A128))</f>
        <v/>
      </c>
      <c r="BG128" s="2">
        <f>IF(COUNTA(BH128:BK128)=0,"",ROUND(AVERAGE(BH128:BK128),0))</f>
        <v/>
      </c>
      <c r="BH128" s="2">
        <f>IF(BL128="","",IF(BL128&gt;=90,"HOT",IF(BL128&gt;=75,"HIGH",IF(BL128&gt;=50,"MEDIUM","LOW"))))</f>
        <v/>
      </c>
      <c r="BL128" s="2">
        <f>IFERROR(BN128/12,"")</f>
        <v/>
      </c>
      <c r="BP128" s="15" t="n"/>
    </row>
    <row r="129" ht="15.75" customHeight="1" s="19">
      <c r="AD129" s="13" t="n"/>
      <c r="AE129" s="13">
        <f>IF(A129="","",IFERROR(MAXIFS(Activities!$D:$D,Activities!$B:$B,A129),""))</f>
        <v/>
      </c>
      <c r="AF129" s="13">
        <f>IF(A129="","",IFERROR(MINIFS(Follow_Ups!$G:$G,Follow_Ups!$B:$B,A129,Follow_Ups!$H:$H,"&lt;&gt;Completed",Follow_Ups!$G:$G,"&gt;="&amp;TODAY()),""))</f>
        <v/>
      </c>
      <c r="AG129" s="2">
        <f>IF(A129="","",COUNTIF(Activities!$B:$B,A129))</f>
        <v/>
      </c>
      <c r="BG129" s="2">
        <f>IF(COUNTA(BH129:BK129)=0,"",ROUND(AVERAGE(BH129:BK129),0))</f>
        <v/>
      </c>
      <c r="BH129" s="2">
        <f>IF(BL129="","",IF(BL129&gt;=90,"HOT",IF(BL129&gt;=75,"HIGH",IF(BL129&gt;=50,"MEDIUM","LOW"))))</f>
        <v/>
      </c>
      <c r="BL129" s="2">
        <f>IFERROR(BN129/12,"")</f>
        <v/>
      </c>
      <c r="BP129" s="15" t="n"/>
    </row>
    <row r="130" ht="15.75" customHeight="1" s="19">
      <c r="AD130" s="13" t="n"/>
      <c r="AE130" s="13">
        <f>IF(A130="","",IFERROR(MAXIFS(Activities!$D:$D,Activities!$B:$B,A130),""))</f>
        <v/>
      </c>
      <c r="AF130" s="13">
        <f>IF(A130="","",IFERROR(MINIFS(Follow_Ups!$G:$G,Follow_Ups!$B:$B,A130,Follow_Ups!$H:$H,"&lt;&gt;Completed",Follow_Ups!$G:$G,"&gt;="&amp;TODAY()),""))</f>
        <v/>
      </c>
      <c r="AG130" s="2">
        <f>IF(A130="","",COUNTIF(Activities!$B:$B,A130))</f>
        <v/>
      </c>
      <c r="BG130" s="2">
        <f>IF(COUNTA(BH130:BK130)=0,"",ROUND(AVERAGE(BH130:BK130),0))</f>
        <v/>
      </c>
      <c r="BH130" s="2">
        <f>IF(BL130="","",IF(BL130&gt;=90,"HOT",IF(BL130&gt;=75,"HIGH",IF(BL130&gt;=50,"MEDIUM","LOW"))))</f>
        <v/>
      </c>
      <c r="BL130" s="2">
        <f>IFERROR(BN130/12,"")</f>
        <v/>
      </c>
      <c r="BP130" s="15" t="n"/>
    </row>
    <row r="131" ht="15.75" customHeight="1" s="19">
      <c r="AD131" s="13" t="n"/>
      <c r="AE131" s="13">
        <f>IF(A131="","",IFERROR(MAXIFS(Activities!$D:$D,Activities!$B:$B,A131),""))</f>
        <v/>
      </c>
      <c r="AF131" s="13">
        <f>IF(A131="","",IFERROR(MINIFS(Follow_Ups!$G:$G,Follow_Ups!$B:$B,A131,Follow_Ups!$H:$H,"&lt;&gt;Completed",Follow_Ups!$G:$G,"&gt;="&amp;TODAY()),""))</f>
        <v/>
      </c>
      <c r="AG131" s="2">
        <f>IF(A131="","",COUNTIF(Activities!$B:$B,A131))</f>
        <v/>
      </c>
      <c r="BG131" s="2">
        <f>IF(COUNTA(BH131:BK131)=0,"",ROUND(AVERAGE(BH131:BK131),0))</f>
        <v/>
      </c>
      <c r="BH131" s="2">
        <f>IF(BL131="","",IF(BL131&gt;=90,"HOT",IF(BL131&gt;=75,"HIGH",IF(BL131&gt;=50,"MEDIUM","LOW"))))</f>
        <v/>
      </c>
      <c r="BL131" s="2">
        <f>IFERROR(BN131/12,"")</f>
        <v/>
      </c>
      <c r="BP131" s="15" t="n"/>
    </row>
    <row r="132" ht="15.75" customHeight="1" s="19">
      <c r="AD132" s="13" t="n"/>
      <c r="AE132" s="13">
        <f>IF(A132="","",IFERROR(MAXIFS(Activities!$D:$D,Activities!$B:$B,A132),""))</f>
        <v/>
      </c>
      <c r="AF132" s="13">
        <f>IF(A132="","",IFERROR(MINIFS(Follow_Ups!$G:$G,Follow_Ups!$B:$B,A132,Follow_Ups!$H:$H,"&lt;&gt;Completed",Follow_Ups!$G:$G,"&gt;="&amp;TODAY()),""))</f>
        <v/>
      </c>
      <c r="AG132" s="2">
        <f>IF(A132="","",COUNTIF(Activities!$B:$B,A132))</f>
        <v/>
      </c>
      <c r="BG132" s="2">
        <f>IF(COUNTA(BH132:BK132)=0,"",ROUND(AVERAGE(BH132:BK132),0))</f>
        <v/>
      </c>
      <c r="BH132" s="2">
        <f>IF(BL132="","",IF(BL132&gt;=90,"HOT",IF(BL132&gt;=75,"HIGH",IF(BL132&gt;=50,"MEDIUM","LOW"))))</f>
        <v/>
      </c>
      <c r="BL132" s="2">
        <f>IFERROR(BN132/12,"")</f>
        <v/>
      </c>
      <c r="BP132" s="15" t="n"/>
    </row>
    <row r="133" ht="15.75" customHeight="1" s="19">
      <c r="AD133" s="13" t="n"/>
      <c r="AE133" s="13">
        <f>IF(A133="","",IFERROR(MAXIFS(Activities!$D:$D,Activities!$B:$B,A133),""))</f>
        <v/>
      </c>
      <c r="AF133" s="13">
        <f>IF(A133="","",IFERROR(MINIFS(Follow_Ups!$G:$G,Follow_Ups!$B:$B,A133,Follow_Ups!$H:$H,"&lt;&gt;Completed",Follow_Ups!$G:$G,"&gt;="&amp;TODAY()),""))</f>
        <v/>
      </c>
      <c r="AG133" s="2">
        <f>IF(A133="","",COUNTIF(Activities!$B:$B,A133))</f>
        <v/>
      </c>
      <c r="BG133" s="2">
        <f>IF(COUNTA(BH133:BK133)=0,"",ROUND(AVERAGE(BH133:BK133),0))</f>
        <v/>
      </c>
      <c r="BH133" s="2">
        <f>IF(BL133="","",IF(BL133&gt;=90,"HOT",IF(BL133&gt;=75,"HIGH",IF(BL133&gt;=50,"MEDIUM","LOW"))))</f>
        <v/>
      </c>
      <c r="BL133" s="2">
        <f>IFERROR(BN133/12,"")</f>
        <v/>
      </c>
      <c r="BP133" s="15" t="n"/>
    </row>
    <row r="134" ht="15.75" customHeight="1" s="19">
      <c r="AD134" s="13" t="n"/>
      <c r="AE134" s="13">
        <f>IF(A134="","",IFERROR(MAXIFS(Activities!$D:$D,Activities!$B:$B,A134),""))</f>
        <v/>
      </c>
      <c r="AF134" s="13">
        <f>IF(A134="","",IFERROR(MINIFS(Follow_Ups!$G:$G,Follow_Ups!$B:$B,A134,Follow_Ups!$H:$H,"&lt;&gt;Completed",Follow_Ups!$G:$G,"&gt;="&amp;TODAY()),""))</f>
        <v/>
      </c>
      <c r="AG134" s="2">
        <f>IF(A134="","",COUNTIF(Activities!$B:$B,A134))</f>
        <v/>
      </c>
      <c r="BG134" s="2">
        <f>IF(COUNTA(BH134:BK134)=0,"",ROUND(AVERAGE(BH134:BK134),0))</f>
        <v/>
      </c>
      <c r="BH134" s="2">
        <f>IF(BL134="","",IF(BL134&gt;=90,"HOT",IF(BL134&gt;=75,"HIGH",IF(BL134&gt;=50,"MEDIUM","LOW"))))</f>
        <v/>
      </c>
      <c r="BL134" s="2">
        <f>IFERROR(BN134/12,"")</f>
        <v/>
      </c>
      <c r="BP134" s="15" t="n"/>
    </row>
    <row r="135" ht="15.75" customHeight="1" s="19">
      <c r="AD135" s="13" t="n"/>
      <c r="AE135" s="13">
        <f>IF(A135="","",IFERROR(MAXIFS(Activities!$D:$D,Activities!$B:$B,A135),""))</f>
        <v/>
      </c>
      <c r="AF135" s="13">
        <f>IF(A135="","",IFERROR(MINIFS(Follow_Ups!$G:$G,Follow_Ups!$B:$B,A135,Follow_Ups!$H:$H,"&lt;&gt;Completed",Follow_Ups!$G:$G,"&gt;="&amp;TODAY()),""))</f>
        <v/>
      </c>
      <c r="AG135" s="2">
        <f>IF(A135="","",COUNTIF(Activities!$B:$B,A135))</f>
        <v/>
      </c>
      <c r="BG135" s="2">
        <f>IF(COUNTA(BH135:BK135)=0,"",ROUND(AVERAGE(BH135:BK135),0))</f>
        <v/>
      </c>
      <c r="BH135" s="2">
        <f>IF(BL135="","",IF(BL135&gt;=90,"HOT",IF(BL135&gt;=75,"HIGH",IF(BL135&gt;=50,"MEDIUM","LOW"))))</f>
        <v/>
      </c>
      <c r="BL135" s="2">
        <f>IFERROR(BN135/12,"")</f>
        <v/>
      </c>
      <c r="BP135" s="15" t="n"/>
    </row>
    <row r="136" ht="15.75" customHeight="1" s="19">
      <c r="AD136" s="13" t="n"/>
      <c r="AE136" s="13">
        <f>IF(A136="","",IFERROR(MAXIFS(Activities!$D:$D,Activities!$B:$B,A136),""))</f>
        <v/>
      </c>
      <c r="AF136" s="13">
        <f>IF(A136="","",IFERROR(MINIFS(Follow_Ups!$G:$G,Follow_Ups!$B:$B,A136,Follow_Ups!$H:$H,"&lt;&gt;Completed",Follow_Ups!$G:$G,"&gt;="&amp;TODAY()),""))</f>
        <v/>
      </c>
      <c r="AG136" s="2">
        <f>IF(A136="","",COUNTIF(Activities!$B:$B,A136))</f>
        <v/>
      </c>
      <c r="BG136" s="2">
        <f>IF(COUNTA(BH136:BK136)=0,"",ROUND(AVERAGE(BH136:BK136),0))</f>
        <v/>
      </c>
      <c r="BH136" s="2">
        <f>IF(BL136="","",IF(BL136&gt;=90,"HOT",IF(BL136&gt;=75,"HIGH",IF(BL136&gt;=50,"MEDIUM","LOW"))))</f>
        <v/>
      </c>
      <c r="BL136" s="2">
        <f>IFERROR(BN136/12,"")</f>
        <v/>
      </c>
      <c r="BP136" s="15" t="n"/>
    </row>
    <row r="137" ht="15.75" customHeight="1" s="19">
      <c r="AD137" s="13" t="n"/>
      <c r="AE137" s="13">
        <f>IF(A137="","",IFERROR(MAXIFS(Activities!$D:$D,Activities!$B:$B,A137),""))</f>
        <v/>
      </c>
      <c r="AF137" s="13">
        <f>IF(A137="","",IFERROR(MINIFS(Follow_Ups!$G:$G,Follow_Ups!$B:$B,A137,Follow_Ups!$H:$H,"&lt;&gt;Completed",Follow_Ups!$G:$G,"&gt;="&amp;TODAY()),""))</f>
        <v/>
      </c>
      <c r="AG137" s="2">
        <f>IF(A137="","",COUNTIF(Activities!$B:$B,A137))</f>
        <v/>
      </c>
      <c r="BG137" s="2">
        <f>IF(COUNTA(BH137:BK137)=0,"",ROUND(AVERAGE(BH137:BK137),0))</f>
        <v/>
      </c>
      <c r="BH137" s="2">
        <f>IF(BL137="","",IF(BL137&gt;=90,"HOT",IF(BL137&gt;=75,"HIGH",IF(BL137&gt;=50,"MEDIUM","LOW"))))</f>
        <v/>
      </c>
      <c r="BL137" s="2">
        <f>IFERROR(BN137/12,"")</f>
        <v/>
      </c>
      <c r="BP137" s="15" t="n"/>
    </row>
    <row r="138" ht="15.75" customHeight="1" s="19">
      <c r="AD138" s="13" t="n"/>
      <c r="AE138" s="13">
        <f>IF(A138="","",IFERROR(MAXIFS(Activities!$D:$D,Activities!$B:$B,A138),""))</f>
        <v/>
      </c>
      <c r="AF138" s="13">
        <f>IF(A138="","",IFERROR(MINIFS(Follow_Ups!$G:$G,Follow_Ups!$B:$B,A138,Follow_Ups!$H:$H,"&lt;&gt;Completed",Follow_Ups!$G:$G,"&gt;="&amp;TODAY()),""))</f>
        <v/>
      </c>
      <c r="AG138" s="2">
        <f>IF(A138="","",COUNTIF(Activities!$B:$B,A138))</f>
        <v/>
      </c>
      <c r="BG138" s="2">
        <f>IF(COUNTA(BH138:BK138)=0,"",ROUND(AVERAGE(BH138:BK138),0))</f>
        <v/>
      </c>
      <c r="BH138" s="2">
        <f>IF(BL138="","",IF(BL138&gt;=90,"HOT",IF(BL138&gt;=75,"HIGH",IF(BL138&gt;=50,"MEDIUM","LOW"))))</f>
        <v/>
      </c>
      <c r="BL138" s="2">
        <f>IFERROR(BN138/12,"")</f>
        <v/>
      </c>
      <c r="BP138" s="15" t="n"/>
    </row>
    <row r="139" ht="15.75" customHeight="1" s="19">
      <c r="AD139" s="13" t="n"/>
      <c r="AE139" s="13">
        <f>IF(A139="","",IFERROR(MAXIFS(Activities!$D:$D,Activities!$B:$B,A139),""))</f>
        <v/>
      </c>
      <c r="AF139" s="13">
        <f>IF(A139="","",IFERROR(MINIFS(Follow_Ups!$G:$G,Follow_Ups!$B:$B,A139,Follow_Ups!$H:$H,"&lt;&gt;Completed",Follow_Ups!$G:$G,"&gt;="&amp;TODAY()),""))</f>
        <v/>
      </c>
      <c r="AG139" s="2">
        <f>IF(A139="","",COUNTIF(Activities!$B:$B,A139))</f>
        <v/>
      </c>
      <c r="BG139" s="2">
        <f>IF(COUNTA(BH139:BK139)=0,"",ROUND(AVERAGE(BH139:BK139),0))</f>
        <v/>
      </c>
      <c r="BH139" s="2">
        <f>IF(BL139="","",IF(BL139&gt;=90,"HOT",IF(BL139&gt;=75,"HIGH",IF(BL139&gt;=50,"MEDIUM","LOW"))))</f>
        <v/>
      </c>
      <c r="BL139" s="2">
        <f>IFERROR(BN139/12,"")</f>
        <v/>
      </c>
      <c r="BP139" s="15" t="n"/>
    </row>
    <row r="140" ht="15.75" customHeight="1" s="19">
      <c r="AD140" s="13" t="n"/>
      <c r="AE140" s="13">
        <f>IF(A140="","",IFERROR(MAXIFS(Activities!$D:$D,Activities!$B:$B,A140),""))</f>
        <v/>
      </c>
      <c r="AF140" s="13">
        <f>IF(A140="","",IFERROR(MINIFS(Follow_Ups!$G:$G,Follow_Ups!$B:$B,A140,Follow_Ups!$H:$H,"&lt;&gt;Completed",Follow_Ups!$G:$G,"&gt;="&amp;TODAY()),""))</f>
        <v/>
      </c>
      <c r="AG140" s="2">
        <f>IF(A140="","",COUNTIF(Activities!$B:$B,A140))</f>
        <v/>
      </c>
      <c r="BG140" s="2">
        <f>IF(COUNTA(BH140:BK140)=0,"",ROUND(AVERAGE(BH140:BK140),0))</f>
        <v/>
      </c>
      <c r="BH140" s="2">
        <f>IF(BL140="","",IF(BL140&gt;=90,"HOT",IF(BL140&gt;=75,"HIGH",IF(BL140&gt;=50,"MEDIUM","LOW"))))</f>
        <v/>
      </c>
      <c r="BL140" s="2">
        <f>IFERROR(BN140/12,"")</f>
        <v/>
      </c>
      <c r="BP140" s="15" t="n"/>
    </row>
    <row r="141" ht="15.75" customHeight="1" s="19">
      <c r="AD141" s="13" t="n"/>
      <c r="AE141" s="13">
        <f>IF(A141="","",IFERROR(MAXIFS(Activities!$D:$D,Activities!$B:$B,A141),""))</f>
        <v/>
      </c>
      <c r="AF141" s="13">
        <f>IF(A141="","",IFERROR(MINIFS(Follow_Ups!$G:$G,Follow_Ups!$B:$B,A141,Follow_Ups!$H:$H,"&lt;&gt;Completed",Follow_Ups!$G:$G,"&gt;="&amp;TODAY()),""))</f>
        <v/>
      </c>
      <c r="AG141" s="2">
        <f>IF(A141="","",COUNTIF(Activities!$B:$B,A141))</f>
        <v/>
      </c>
      <c r="BG141" s="2">
        <f>IF(COUNTA(BH141:BK141)=0,"",ROUND(AVERAGE(BH141:BK141),0))</f>
        <v/>
      </c>
      <c r="BH141" s="2">
        <f>IF(BL141="","",IF(BL141&gt;=90,"HOT",IF(BL141&gt;=75,"HIGH",IF(BL141&gt;=50,"MEDIUM","LOW"))))</f>
        <v/>
      </c>
      <c r="BL141" s="2">
        <f>IFERROR(BN141/12,"")</f>
        <v/>
      </c>
      <c r="BP141" s="15" t="n"/>
    </row>
    <row r="142" ht="15.75" customHeight="1" s="19">
      <c r="AD142" s="13" t="n"/>
      <c r="AE142" s="13">
        <f>IF(A142="","",IFERROR(MAXIFS(Activities!$D:$D,Activities!$B:$B,A142),""))</f>
        <v/>
      </c>
      <c r="AF142" s="13">
        <f>IF(A142="","",IFERROR(MINIFS(Follow_Ups!$G:$G,Follow_Ups!$B:$B,A142,Follow_Ups!$H:$H,"&lt;&gt;Completed",Follow_Ups!$G:$G,"&gt;="&amp;TODAY()),""))</f>
        <v/>
      </c>
      <c r="AG142" s="2">
        <f>IF(A142="","",COUNTIF(Activities!$B:$B,A142))</f>
        <v/>
      </c>
      <c r="BG142" s="2">
        <f>IF(COUNTA(BH142:BK142)=0,"",ROUND(AVERAGE(BH142:BK142),0))</f>
        <v/>
      </c>
      <c r="BH142" s="2">
        <f>IF(BL142="","",IF(BL142&gt;=90,"HOT",IF(BL142&gt;=75,"HIGH",IF(BL142&gt;=50,"MEDIUM","LOW"))))</f>
        <v/>
      </c>
      <c r="BL142" s="2">
        <f>IFERROR(BN142/12,"")</f>
        <v/>
      </c>
      <c r="BP142" s="15" t="n"/>
    </row>
    <row r="143" ht="15.75" customHeight="1" s="19">
      <c r="AD143" s="13" t="n"/>
      <c r="AE143" s="13">
        <f>IF(A143="","",IFERROR(MAXIFS(Activities!$D:$D,Activities!$B:$B,A143),""))</f>
        <v/>
      </c>
      <c r="AF143" s="13">
        <f>IF(A143="","",IFERROR(MINIFS(Follow_Ups!$G:$G,Follow_Ups!$B:$B,A143,Follow_Ups!$H:$H,"&lt;&gt;Completed",Follow_Ups!$G:$G,"&gt;="&amp;TODAY()),""))</f>
        <v/>
      </c>
      <c r="AG143" s="2">
        <f>IF(A143="","",COUNTIF(Activities!$B:$B,A143))</f>
        <v/>
      </c>
      <c r="BG143" s="2">
        <f>IF(COUNTA(BH143:BK143)=0,"",ROUND(AVERAGE(BH143:BK143),0))</f>
        <v/>
      </c>
      <c r="BH143" s="2">
        <f>IF(BL143="","",IF(BL143&gt;=90,"HOT",IF(BL143&gt;=75,"HIGH",IF(BL143&gt;=50,"MEDIUM","LOW"))))</f>
        <v/>
      </c>
      <c r="BL143" s="2">
        <f>IFERROR(BN143/12,"")</f>
        <v/>
      </c>
      <c r="BP143" s="15" t="n"/>
    </row>
    <row r="144" ht="15.75" customHeight="1" s="19">
      <c r="AD144" s="13" t="n"/>
      <c r="AE144" s="13">
        <f>IF(A144="","",IFERROR(MAXIFS(Activities!$D:$D,Activities!$B:$B,A144),""))</f>
        <v/>
      </c>
      <c r="AF144" s="13">
        <f>IF(A144="","",IFERROR(MINIFS(Follow_Ups!$G:$G,Follow_Ups!$B:$B,A144,Follow_Ups!$H:$H,"&lt;&gt;Completed",Follow_Ups!$G:$G,"&gt;="&amp;TODAY()),""))</f>
        <v/>
      </c>
      <c r="AG144" s="2">
        <f>IF(A144="","",COUNTIF(Activities!$B:$B,A144))</f>
        <v/>
      </c>
      <c r="BG144" s="2">
        <f>IF(COUNTA(BH144:BK144)=0,"",ROUND(AVERAGE(BH144:BK144),0))</f>
        <v/>
      </c>
      <c r="BH144" s="2">
        <f>IF(BL144="","",IF(BL144&gt;=90,"HOT",IF(BL144&gt;=75,"HIGH",IF(BL144&gt;=50,"MEDIUM","LOW"))))</f>
        <v/>
      </c>
      <c r="BL144" s="2">
        <f>IFERROR(BN144/12,"")</f>
        <v/>
      </c>
      <c r="BP144" s="15" t="n"/>
    </row>
    <row r="145" ht="15.75" customHeight="1" s="19">
      <c r="AD145" s="13" t="n"/>
      <c r="AE145" s="13">
        <f>IF(A145="","",IFERROR(MAXIFS(Activities!$D:$D,Activities!$B:$B,A145),""))</f>
        <v/>
      </c>
      <c r="AF145" s="13">
        <f>IF(A145="","",IFERROR(MINIFS(Follow_Ups!$G:$G,Follow_Ups!$B:$B,A145,Follow_Ups!$H:$H,"&lt;&gt;Completed",Follow_Ups!$G:$G,"&gt;="&amp;TODAY()),""))</f>
        <v/>
      </c>
      <c r="AG145" s="2">
        <f>IF(A145="","",COUNTIF(Activities!$B:$B,A145))</f>
        <v/>
      </c>
      <c r="BG145" s="2">
        <f>IF(COUNTA(BH145:BK145)=0,"",ROUND(AVERAGE(BH145:BK145),0))</f>
        <v/>
      </c>
      <c r="BH145" s="2">
        <f>IF(BL145="","",IF(BL145&gt;=90,"HOT",IF(BL145&gt;=75,"HIGH",IF(BL145&gt;=50,"MEDIUM","LOW"))))</f>
        <v/>
      </c>
      <c r="BL145" s="2">
        <f>IFERROR(BN145/12,"")</f>
        <v/>
      </c>
      <c r="BP145" s="15" t="n"/>
    </row>
    <row r="146" ht="15.75" customHeight="1" s="19">
      <c r="AD146" s="13" t="n"/>
      <c r="AE146" s="13">
        <f>IF(A146="","",IFERROR(MAXIFS(Activities!$D:$D,Activities!$B:$B,A146),""))</f>
        <v/>
      </c>
      <c r="AF146" s="13">
        <f>IF(A146="","",IFERROR(MINIFS(Follow_Ups!$G:$G,Follow_Ups!$B:$B,A146,Follow_Ups!$H:$H,"&lt;&gt;Completed",Follow_Ups!$G:$G,"&gt;="&amp;TODAY()),""))</f>
        <v/>
      </c>
      <c r="AG146" s="2">
        <f>IF(A146="","",COUNTIF(Activities!$B:$B,A146))</f>
        <v/>
      </c>
      <c r="BG146" s="2">
        <f>IF(COUNTA(BH146:BK146)=0,"",ROUND(AVERAGE(BH146:BK146),0))</f>
        <v/>
      </c>
      <c r="BH146" s="2">
        <f>IF(BL146="","",IF(BL146&gt;=90,"HOT",IF(BL146&gt;=75,"HIGH",IF(BL146&gt;=50,"MEDIUM","LOW"))))</f>
        <v/>
      </c>
      <c r="BL146" s="2">
        <f>IFERROR(BN146/12,"")</f>
        <v/>
      </c>
      <c r="BP146" s="15" t="n"/>
    </row>
    <row r="147" ht="15.75" customHeight="1" s="19">
      <c r="AD147" s="13" t="n"/>
      <c r="AE147" s="13">
        <f>IF(A147="","",IFERROR(MAXIFS(Activities!$D:$D,Activities!$B:$B,A147),""))</f>
        <v/>
      </c>
      <c r="AF147" s="13">
        <f>IF(A147="","",IFERROR(MINIFS(Follow_Ups!$G:$G,Follow_Ups!$B:$B,A147,Follow_Ups!$H:$H,"&lt;&gt;Completed",Follow_Ups!$G:$G,"&gt;="&amp;TODAY()),""))</f>
        <v/>
      </c>
      <c r="AG147" s="2">
        <f>IF(A147="","",COUNTIF(Activities!$B:$B,A147))</f>
        <v/>
      </c>
      <c r="BG147" s="2">
        <f>IF(COUNTA(BH147:BK147)=0,"",ROUND(AVERAGE(BH147:BK147),0))</f>
        <v/>
      </c>
      <c r="BH147" s="2">
        <f>IF(BL147="","",IF(BL147&gt;=90,"HOT",IF(BL147&gt;=75,"HIGH",IF(BL147&gt;=50,"MEDIUM","LOW"))))</f>
        <v/>
      </c>
      <c r="BL147" s="2">
        <f>IFERROR(BN147/12,"")</f>
        <v/>
      </c>
      <c r="BP147" s="15" t="n"/>
    </row>
    <row r="148" ht="15.75" customHeight="1" s="19">
      <c r="AD148" s="13" t="n"/>
      <c r="AE148" s="13">
        <f>IF(A148="","",IFERROR(MAXIFS(Activities!$D:$D,Activities!$B:$B,A148),""))</f>
        <v/>
      </c>
      <c r="AF148" s="13">
        <f>IF(A148="","",IFERROR(MINIFS(Follow_Ups!$G:$G,Follow_Ups!$B:$B,A148,Follow_Ups!$H:$H,"&lt;&gt;Completed",Follow_Ups!$G:$G,"&gt;="&amp;TODAY()),""))</f>
        <v/>
      </c>
      <c r="AG148" s="2">
        <f>IF(A148="","",COUNTIF(Activities!$B:$B,A148))</f>
        <v/>
      </c>
      <c r="BG148" s="2">
        <f>IF(COUNTA(BH148:BK148)=0,"",ROUND(AVERAGE(BH148:BK148),0))</f>
        <v/>
      </c>
      <c r="BH148" s="2">
        <f>IF(BL148="","",IF(BL148&gt;=90,"HOT",IF(BL148&gt;=75,"HIGH",IF(BL148&gt;=50,"MEDIUM","LOW"))))</f>
        <v/>
      </c>
      <c r="BL148" s="2">
        <f>IFERROR(BN148/12,"")</f>
        <v/>
      </c>
      <c r="BP148" s="15" t="n"/>
    </row>
    <row r="149" ht="15.75" customHeight="1" s="19">
      <c r="AD149" s="13" t="n"/>
      <c r="AE149" s="13">
        <f>IF(A149="","",IFERROR(MAXIFS(Activities!$D:$D,Activities!$B:$B,A149),""))</f>
        <v/>
      </c>
      <c r="AF149" s="13">
        <f>IF(A149="","",IFERROR(MINIFS(Follow_Ups!$G:$G,Follow_Ups!$B:$B,A149,Follow_Ups!$H:$H,"&lt;&gt;Completed",Follow_Ups!$G:$G,"&gt;="&amp;TODAY()),""))</f>
        <v/>
      </c>
      <c r="AG149" s="2">
        <f>IF(A149="","",COUNTIF(Activities!$B:$B,A149))</f>
        <v/>
      </c>
      <c r="BG149" s="2">
        <f>IF(COUNTA(BH149:BK149)=0,"",ROUND(AVERAGE(BH149:BK149),0))</f>
        <v/>
      </c>
      <c r="BH149" s="2">
        <f>IF(BL149="","",IF(BL149&gt;=90,"HOT",IF(BL149&gt;=75,"HIGH",IF(BL149&gt;=50,"MEDIUM","LOW"))))</f>
        <v/>
      </c>
      <c r="BL149" s="2">
        <f>IFERROR(BN149/12,"")</f>
        <v/>
      </c>
      <c r="BP149" s="15" t="n"/>
    </row>
    <row r="150" ht="15.75" customHeight="1" s="19">
      <c r="AD150" s="13" t="n"/>
      <c r="AE150" s="13">
        <f>IF(A150="","",IFERROR(MAXIFS(Activities!$D:$D,Activities!$B:$B,A150),""))</f>
        <v/>
      </c>
      <c r="AF150" s="13">
        <f>IF(A150="","",IFERROR(MINIFS(Follow_Ups!$G:$G,Follow_Ups!$B:$B,A150,Follow_Ups!$H:$H,"&lt;&gt;Completed",Follow_Ups!$G:$G,"&gt;="&amp;TODAY()),""))</f>
        <v/>
      </c>
      <c r="AG150" s="2">
        <f>IF(A150="","",COUNTIF(Activities!$B:$B,A150))</f>
        <v/>
      </c>
      <c r="BG150" s="2">
        <f>IF(COUNTA(BH150:BK150)=0,"",ROUND(AVERAGE(BH150:BK150),0))</f>
        <v/>
      </c>
      <c r="BH150" s="2">
        <f>IF(BL150="","",IF(BL150&gt;=90,"HOT",IF(BL150&gt;=75,"HIGH",IF(BL150&gt;=50,"MEDIUM","LOW"))))</f>
        <v/>
      </c>
      <c r="BL150" s="2">
        <f>IFERROR(BN150/12,"")</f>
        <v/>
      </c>
      <c r="BP150" s="15" t="n"/>
    </row>
    <row r="151" ht="15.75" customHeight="1" s="19">
      <c r="AD151" s="13" t="n"/>
      <c r="AE151" s="13">
        <f>IF(A151="","",IFERROR(MAXIFS(Activities!$D:$D,Activities!$B:$B,A151),""))</f>
        <v/>
      </c>
      <c r="AF151" s="13">
        <f>IF(A151="","",IFERROR(MINIFS(Follow_Ups!$G:$G,Follow_Ups!$B:$B,A151,Follow_Ups!$H:$H,"&lt;&gt;Completed",Follow_Ups!$G:$G,"&gt;="&amp;TODAY()),""))</f>
        <v/>
      </c>
      <c r="AG151" s="2">
        <f>IF(A151="","",COUNTIF(Activities!$B:$B,A151))</f>
        <v/>
      </c>
      <c r="BG151" s="2">
        <f>IF(COUNTA(BH151:BK151)=0,"",ROUND(AVERAGE(BH151:BK151),0))</f>
        <v/>
      </c>
      <c r="BH151" s="2">
        <f>IF(BL151="","",IF(BL151&gt;=90,"HOT",IF(BL151&gt;=75,"HIGH",IF(BL151&gt;=50,"MEDIUM","LOW"))))</f>
        <v/>
      </c>
      <c r="BL151" s="2">
        <f>IFERROR(BN151/12,"")</f>
        <v/>
      </c>
      <c r="BP151" s="15" t="n"/>
    </row>
    <row r="152" ht="15.75" customHeight="1" s="19">
      <c r="AD152" s="13" t="n"/>
      <c r="AE152" s="13">
        <f>IF(A152="","",IFERROR(MAXIFS(Activities!$D:$D,Activities!$B:$B,A152),""))</f>
        <v/>
      </c>
      <c r="AF152" s="13">
        <f>IF(A152="","",IFERROR(MINIFS(Follow_Ups!$G:$G,Follow_Ups!$B:$B,A152,Follow_Ups!$H:$H,"&lt;&gt;Completed",Follow_Ups!$G:$G,"&gt;="&amp;TODAY()),""))</f>
        <v/>
      </c>
      <c r="AG152" s="2">
        <f>IF(A152="","",COUNTIF(Activities!$B:$B,A152))</f>
        <v/>
      </c>
      <c r="BG152" s="2">
        <f>IF(COUNTA(BH152:BK152)=0,"",ROUND(AVERAGE(BH152:BK152),0))</f>
        <v/>
      </c>
      <c r="BH152" s="2">
        <f>IF(BL152="","",IF(BL152&gt;=90,"HOT",IF(BL152&gt;=75,"HIGH",IF(BL152&gt;=50,"MEDIUM","LOW"))))</f>
        <v/>
      </c>
      <c r="BL152" s="2">
        <f>IFERROR(BN152/12,"")</f>
        <v/>
      </c>
      <c r="BP152" s="15" t="n"/>
    </row>
    <row r="153" ht="15.75" customHeight="1" s="19">
      <c r="AD153" s="13" t="n"/>
      <c r="AE153" s="13">
        <f>IF(A153="","",IFERROR(MAXIFS(Activities!$D:$D,Activities!$B:$B,A153),""))</f>
        <v/>
      </c>
      <c r="AF153" s="13">
        <f>IF(A153="","",IFERROR(MINIFS(Follow_Ups!$G:$G,Follow_Ups!$B:$B,A153,Follow_Ups!$H:$H,"&lt;&gt;Completed",Follow_Ups!$G:$G,"&gt;="&amp;TODAY()),""))</f>
        <v/>
      </c>
      <c r="AG153" s="2">
        <f>IF(A153="","",COUNTIF(Activities!$B:$B,A153))</f>
        <v/>
      </c>
      <c r="BG153" s="2">
        <f>IF(COUNTA(BH153:BK153)=0,"",ROUND(AVERAGE(BH153:BK153),0))</f>
        <v/>
      </c>
      <c r="BH153" s="2">
        <f>IF(BL153="","",IF(BL153&gt;=90,"HOT",IF(BL153&gt;=75,"HIGH",IF(BL153&gt;=50,"MEDIUM","LOW"))))</f>
        <v/>
      </c>
      <c r="BL153" s="2">
        <f>IFERROR(BN153/12,"")</f>
        <v/>
      </c>
      <c r="BP153" s="15" t="n"/>
    </row>
    <row r="154" ht="15.75" customHeight="1" s="19">
      <c r="AD154" s="13" t="n"/>
      <c r="AE154" s="13">
        <f>IF(A154="","",IFERROR(MAXIFS(Activities!$D:$D,Activities!$B:$B,A154),""))</f>
        <v/>
      </c>
      <c r="AF154" s="13">
        <f>IF(A154="","",IFERROR(MINIFS(Follow_Ups!$G:$G,Follow_Ups!$B:$B,A154,Follow_Ups!$H:$H,"&lt;&gt;Completed",Follow_Ups!$G:$G,"&gt;="&amp;TODAY()),""))</f>
        <v/>
      </c>
      <c r="AG154" s="2">
        <f>IF(A154="","",COUNTIF(Activities!$B:$B,A154))</f>
        <v/>
      </c>
      <c r="BG154" s="2">
        <f>IF(COUNTA(BH154:BK154)=0,"",ROUND(AVERAGE(BH154:BK154),0))</f>
        <v/>
      </c>
      <c r="BH154" s="2">
        <f>IF(BL154="","",IF(BL154&gt;=90,"HOT",IF(BL154&gt;=75,"HIGH",IF(BL154&gt;=50,"MEDIUM","LOW"))))</f>
        <v/>
      </c>
      <c r="BL154" s="2">
        <f>IFERROR(BN154/12,"")</f>
        <v/>
      </c>
      <c r="BP154" s="15" t="n"/>
    </row>
    <row r="155" ht="15.75" customHeight="1" s="19">
      <c r="AD155" s="13" t="n"/>
      <c r="AE155" s="13">
        <f>IF(A155="","",IFERROR(MAXIFS(Activities!$D:$D,Activities!$B:$B,A155),""))</f>
        <v/>
      </c>
      <c r="AF155" s="13">
        <f>IF(A155="","",IFERROR(MINIFS(Follow_Ups!$G:$G,Follow_Ups!$B:$B,A155,Follow_Ups!$H:$H,"&lt;&gt;Completed",Follow_Ups!$G:$G,"&gt;="&amp;TODAY()),""))</f>
        <v/>
      </c>
      <c r="AG155" s="2">
        <f>IF(A155="","",COUNTIF(Activities!$B:$B,A155))</f>
        <v/>
      </c>
      <c r="BG155" s="2">
        <f>IF(COUNTA(BH155:BK155)=0,"",ROUND(AVERAGE(BH155:BK155),0))</f>
        <v/>
      </c>
      <c r="BH155" s="2">
        <f>IF(BL155="","",IF(BL155&gt;=90,"HOT",IF(BL155&gt;=75,"HIGH",IF(BL155&gt;=50,"MEDIUM","LOW"))))</f>
        <v/>
      </c>
      <c r="BL155" s="2">
        <f>IFERROR(BN155/12,"")</f>
        <v/>
      </c>
      <c r="BP155" s="15" t="n"/>
    </row>
    <row r="156" ht="15.75" customHeight="1" s="19">
      <c r="AD156" s="13" t="n"/>
      <c r="AE156" s="13">
        <f>IF(A156="","",IFERROR(MAXIFS(Activities!$D:$D,Activities!$B:$B,A156),""))</f>
        <v/>
      </c>
      <c r="AF156" s="13">
        <f>IF(A156="","",IFERROR(MINIFS(Follow_Ups!$G:$G,Follow_Ups!$B:$B,A156,Follow_Ups!$H:$H,"&lt;&gt;Completed",Follow_Ups!$G:$G,"&gt;="&amp;TODAY()),""))</f>
        <v/>
      </c>
      <c r="AG156" s="2">
        <f>IF(A156="","",COUNTIF(Activities!$B:$B,A156))</f>
        <v/>
      </c>
      <c r="BG156" s="2">
        <f>IF(COUNTA(BH156:BK156)=0,"",ROUND(AVERAGE(BH156:BK156),0))</f>
        <v/>
      </c>
      <c r="BH156" s="2">
        <f>IF(BL156="","",IF(BL156&gt;=90,"HOT",IF(BL156&gt;=75,"HIGH",IF(BL156&gt;=50,"MEDIUM","LOW"))))</f>
        <v/>
      </c>
      <c r="BL156" s="2">
        <f>IFERROR(BN156/12,"")</f>
        <v/>
      </c>
      <c r="BP156" s="15" t="n"/>
    </row>
    <row r="157" ht="15.75" customHeight="1" s="19">
      <c r="AD157" s="13" t="n"/>
      <c r="AE157" s="13">
        <f>IF(A157="","",IFERROR(MAXIFS(Activities!$D:$D,Activities!$B:$B,A157),""))</f>
        <v/>
      </c>
      <c r="AF157" s="13">
        <f>IF(A157="","",IFERROR(MINIFS(Follow_Ups!$G:$G,Follow_Ups!$B:$B,A157,Follow_Ups!$H:$H,"&lt;&gt;Completed",Follow_Ups!$G:$G,"&gt;="&amp;TODAY()),""))</f>
        <v/>
      </c>
      <c r="AG157" s="2">
        <f>IF(A157="","",COUNTIF(Activities!$B:$B,A157))</f>
        <v/>
      </c>
      <c r="BG157" s="2">
        <f>IF(COUNTA(BH157:BK157)=0,"",ROUND(AVERAGE(BH157:BK157),0))</f>
        <v/>
      </c>
      <c r="BH157" s="2">
        <f>IF(BL157="","",IF(BL157&gt;=90,"HOT",IF(BL157&gt;=75,"HIGH",IF(BL157&gt;=50,"MEDIUM","LOW"))))</f>
        <v/>
      </c>
      <c r="BL157" s="2">
        <f>IFERROR(BN157/12,"")</f>
        <v/>
      </c>
      <c r="BP157" s="15" t="n"/>
    </row>
    <row r="158" ht="15.75" customHeight="1" s="19">
      <c r="AD158" s="13" t="n"/>
      <c r="AE158" s="13">
        <f>IF(A158="","",IFERROR(MAXIFS(Activities!$D:$D,Activities!$B:$B,A158),""))</f>
        <v/>
      </c>
      <c r="AF158" s="13">
        <f>IF(A158="","",IFERROR(MINIFS(Follow_Ups!$G:$G,Follow_Ups!$B:$B,A158,Follow_Ups!$H:$H,"&lt;&gt;Completed",Follow_Ups!$G:$G,"&gt;="&amp;TODAY()),""))</f>
        <v/>
      </c>
      <c r="AG158" s="2">
        <f>IF(A158="","",COUNTIF(Activities!$B:$B,A158))</f>
        <v/>
      </c>
      <c r="BG158" s="2">
        <f>IF(COUNTA(BH158:BK158)=0,"",ROUND(AVERAGE(BH158:BK158),0))</f>
        <v/>
      </c>
      <c r="BH158" s="2">
        <f>IF(BL158="","",IF(BL158&gt;=90,"HOT",IF(BL158&gt;=75,"HIGH",IF(BL158&gt;=50,"MEDIUM","LOW"))))</f>
        <v/>
      </c>
      <c r="BL158" s="2">
        <f>IFERROR(BN158/12,"")</f>
        <v/>
      </c>
      <c r="BP158" s="15" t="n"/>
    </row>
    <row r="159" ht="15.75" customHeight="1" s="19">
      <c r="AD159" s="13" t="n"/>
      <c r="AE159" s="13">
        <f>IF(A159="","",IFERROR(MAXIFS(Activities!$D:$D,Activities!$B:$B,A159),""))</f>
        <v/>
      </c>
      <c r="AF159" s="13">
        <f>IF(A159="","",IFERROR(MINIFS(Follow_Ups!$G:$G,Follow_Ups!$B:$B,A159,Follow_Ups!$H:$H,"&lt;&gt;Completed",Follow_Ups!$G:$G,"&gt;="&amp;TODAY()),""))</f>
        <v/>
      </c>
      <c r="AG159" s="2">
        <f>IF(A159="","",COUNTIF(Activities!$B:$B,A159))</f>
        <v/>
      </c>
      <c r="BG159" s="2">
        <f>IF(COUNTA(BH159:BK159)=0,"",ROUND(AVERAGE(BH159:BK159),0))</f>
        <v/>
      </c>
      <c r="BH159" s="2">
        <f>IF(BL159="","",IF(BL159&gt;=90,"HOT",IF(BL159&gt;=75,"HIGH",IF(BL159&gt;=50,"MEDIUM","LOW"))))</f>
        <v/>
      </c>
      <c r="BL159" s="2">
        <f>IFERROR(BN159/12,"")</f>
        <v/>
      </c>
      <c r="BP159" s="15" t="n"/>
    </row>
    <row r="160" ht="15.75" customHeight="1" s="19">
      <c r="AD160" s="13" t="n"/>
      <c r="AE160" s="13">
        <f>IF(A160="","",IFERROR(MAXIFS(Activities!$D:$D,Activities!$B:$B,A160),""))</f>
        <v/>
      </c>
      <c r="AF160" s="13">
        <f>IF(A160="","",IFERROR(MINIFS(Follow_Ups!$G:$G,Follow_Ups!$B:$B,A160,Follow_Ups!$H:$H,"&lt;&gt;Completed",Follow_Ups!$G:$G,"&gt;="&amp;TODAY()),""))</f>
        <v/>
      </c>
      <c r="AG160" s="2">
        <f>IF(A160="","",COUNTIF(Activities!$B:$B,A160))</f>
        <v/>
      </c>
      <c r="BG160" s="2">
        <f>IF(COUNTA(BH160:BK160)=0,"",ROUND(AVERAGE(BH160:BK160),0))</f>
        <v/>
      </c>
      <c r="BH160" s="2">
        <f>IF(BL160="","",IF(BL160&gt;=90,"HOT",IF(BL160&gt;=75,"HIGH",IF(BL160&gt;=50,"MEDIUM","LOW"))))</f>
        <v/>
      </c>
      <c r="BL160" s="2">
        <f>IFERROR(BN160/12,"")</f>
        <v/>
      </c>
      <c r="BP160" s="15" t="n"/>
    </row>
    <row r="161" ht="15.75" customHeight="1" s="19">
      <c r="AD161" s="13" t="n"/>
      <c r="AE161" s="13">
        <f>IF(A161="","",IFERROR(MAXIFS(Activities!$D:$D,Activities!$B:$B,A161),""))</f>
        <v/>
      </c>
      <c r="AF161" s="13">
        <f>IF(A161="","",IFERROR(MINIFS(Follow_Ups!$G:$G,Follow_Ups!$B:$B,A161,Follow_Ups!$H:$H,"&lt;&gt;Completed",Follow_Ups!$G:$G,"&gt;="&amp;TODAY()),""))</f>
        <v/>
      </c>
      <c r="AG161" s="2">
        <f>IF(A161="","",COUNTIF(Activities!$B:$B,A161))</f>
        <v/>
      </c>
      <c r="BG161" s="2">
        <f>IF(COUNTA(BH161:BK161)=0,"",ROUND(AVERAGE(BH161:BK161),0))</f>
        <v/>
      </c>
      <c r="BH161" s="2">
        <f>IF(BL161="","",IF(BL161&gt;=90,"HOT",IF(BL161&gt;=75,"HIGH",IF(BL161&gt;=50,"MEDIUM","LOW"))))</f>
        <v/>
      </c>
      <c r="BL161" s="2">
        <f>IFERROR(BN161/12,"")</f>
        <v/>
      </c>
      <c r="BP161" s="15" t="n"/>
    </row>
    <row r="162" ht="15.75" customHeight="1" s="19">
      <c r="AD162" s="13" t="n"/>
      <c r="AE162" s="13">
        <f>IF(A162="","",IFERROR(MAXIFS(Activities!$D:$D,Activities!$B:$B,A162),""))</f>
        <v/>
      </c>
      <c r="AF162" s="13">
        <f>IF(A162="","",IFERROR(MINIFS(Follow_Ups!$G:$G,Follow_Ups!$B:$B,A162,Follow_Ups!$H:$H,"&lt;&gt;Completed",Follow_Ups!$G:$G,"&gt;="&amp;TODAY()),""))</f>
        <v/>
      </c>
      <c r="AG162" s="2">
        <f>IF(A162="","",COUNTIF(Activities!$B:$B,A162))</f>
        <v/>
      </c>
      <c r="BG162" s="2">
        <f>IF(COUNTA(BH162:BK162)=0,"",ROUND(AVERAGE(BH162:BK162),0))</f>
        <v/>
      </c>
      <c r="BH162" s="2">
        <f>IF(BL162="","",IF(BL162&gt;=90,"HOT",IF(BL162&gt;=75,"HIGH",IF(BL162&gt;=50,"MEDIUM","LOW"))))</f>
        <v/>
      </c>
      <c r="BL162" s="2">
        <f>IFERROR(BN162/12,"")</f>
        <v/>
      </c>
      <c r="BP162" s="15" t="n"/>
    </row>
    <row r="163" ht="15.75" customHeight="1" s="19">
      <c r="AD163" s="13" t="n"/>
      <c r="AE163" s="13">
        <f>IF(A163="","",IFERROR(MAXIFS(Activities!$D:$D,Activities!$B:$B,A163),""))</f>
        <v/>
      </c>
      <c r="AF163" s="13">
        <f>IF(A163="","",IFERROR(MINIFS(Follow_Ups!$G:$G,Follow_Ups!$B:$B,A163,Follow_Ups!$H:$H,"&lt;&gt;Completed",Follow_Ups!$G:$G,"&gt;="&amp;TODAY()),""))</f>
        <v/>
      </c>
      <c r="AG163" s="2">
        <f>IF(A163="","",COUNTIF(Activities!$B:$B,A163))</f>
        <v/>
      </c>
      <c r="BG163" s="2">
        <f>IF(COUNTA(BH163:BK163)=0,"",ROUND(AVERAGE(BH163:BK163),0))</f>
        <v/>
      </c>
      <c r="BH163" s="2">
        <f>IF(BL163="","",IF(BL163&gt;=90,"HOT",IF(BL163&gt;=75,"HIGH",IF(BL163&gt;=50,"MEDIUM","LOW"))))</f>
        <v/>
      </c>
      <c r="BL163" s="2">
        <f>IFERROR(BN163/12,"")</f>
        <v/>
      </c>
      <c r="BP163" s="15" t="n"/>
    </row>
    <row r="164" ht="15.75" customHeight="1" s="19">
      <c r="AD164" s="13" t="n"/>
      <c r="AE164" s="13">
        <f>IF(A164="","",IFERROR(MAXIFS(Activities!$D:$D,Activities!$B:$B,A164),""))</f>
        <v/>
      </c>
      <c r="AF164" s="13">
        <f>IF(A164="","",IFERROR(MINIFS(Follow_Ups!$G:$G,Follow_Ups!$B:$B,A164,Follow_Ups!$H:$H,"&lt;&gt;Completed",Follow_Ups!$G:$G,"&gt;="&amp;TODAY()),""))</f>
        <v/>
      </c>
      <c r="AG164" s="2">
        <f>IF(A164="","",COUNTIF(Activities!$B:$B,A164))</f>
        <v/>
      </c>
      <c r="BG164" s="2">
        <f>IF(COUNTA(BH164:BK164)=0,"",ROUND(AVERAGE(BH164:BK164),0))</f>
        <v/>
      </c>
      <c r="BH164" s="2">
        <f>IF(BL164="","",IF(BL164&gt;=90,"HOT",IF(BL164&gt;=75,"HIGH",IF(BL164&gt;=50,"MEDIUM","LOW"))))</f>
        <v/>
      </c>
      <c r="BL164" s="2">
        <f>IFERROR(BN164/12,"")</f>
        <v/>
      </c>
      <c r="BP164" s="15" t="n"/>
    </row>
    <row r="165" ht="15.75" customHeight="1" s="19">
      <c r="AD165" s="13" t="n"/>
      <c r="AE165" s="13">
        <f>IF(A165="","",IFERROR(MAXIFS(Activities!$D:$D,Activities!$B:$B,A165),""))</f>
        <v/>
      </c>
      <c r="AF165" s="13">
        <f>IF(A165="","",IFERROR(MINIFS(Follow_Ups!$G:$G,Follow_Ups!$B:$B,A165,Follow_Ups!$H:$H,"&lt;&gt;Completed",Follow_Ups!$G:$G,"&gt;="&amp;TODAY()),""))</f>
        <v/>
      </c>
      <c r="AG165" s="2">
        <f>IF(A165="","",COUNTIF(Activities!$B:$B,A165))</f>
        <v/>
      </c>
      <c r="BG165" s="2">
        <f>IF(COUNTA(BH165:BK165)=0,"",ROUND(AVERAGE(BH165:BK165),0))</f>
        <v/>
      </c>
      <c r="BH165" s="2">
        <f>IF(BL165="","",IF(BL165&gt;=90,"HOT",IF(BL165&gt;=75,"HIGH",IF(BL165&gt;=50,"MEDIUM","LOW"))))</f>
        <v/>
      </c>
      <c r="BL165" s="2">
        <f>IFERROR(BN165/12,"")</f>
        <v/>
      </c>
      <c r="BP165" s="15" t="n"/>
    </row>
    <row r="166" ht="15.75" customHeight="1" s="19">
      <c r="AD166" s="13" t="n"/>
      <c r="AE166" s="13">
        <f>IF(A166="","",IFERROR(MAXIFS(Activities!$D:$D,Activities!$B:$B,A166),""))</f>
        <v/>
      </c>
      <c r="AF166" s="13">
        <f>IF(A166="","",IFERROR(MINIFS(Follow_Ups!$G:$G,Follow_Ups!$B:$B,A166,Follow_Ups!$H:$H,"&lt;&gt;Completed",Follow_Ups!$G:$G,"&gt;="&amp;TODAY()),""))</f>
        <v/>
      </c>
      <c r="AG166" s="2">
        <f>IF(A166="","",COUNTIF(Activities!$B:$B,A166))</f>
        <v/>
      </c>
      <c r="BG166" s="2">
        <f>IF(COUNTA(BH166:BK166)=0,"",ROUND(AVERAGE(BH166:BK166),0))</f>
        <v/>
      </c>
      <c r="BH166" s="2">
        <f>IF(BL166="","",IF(BL166&gt;=90,"HOT",IF(BL166&gt;=75,"HIGH",IF(BL166&gt;=50,"MEDIUM","LOW"))))</f>
        <v/>
      </c>
      <c r="BL166" s="2">
        <f>IFERROR(BN166/12,"")</f>
        <v/>
      </c>
      <c r="BP166" s="15" t="n"/>
    </row>
    <row r="167" ht="15.75" customHeight="1" s="19">
      <c r="AD167" s="13" t="n"/>
      <c r="AE167" s="13">
        <f>IF(A167="","",IFERROR(MAXIFS(Activities!$D:$D,Activities!$B:$B,A167),""))</f>
        <v/>
      </c>
      <c r="AF167" s="13">
        <f>IF(A167="","",IFERROR(MINIFS(Follow_Ups!$G:$G,Follow_Ups!$B:$B,A167,Follow_Ups!$H:$H,"&lt;&gt;Completed",Follow_Ups!$G:$G,"&gt;="&amp;TODAY()),""))</f>
        <v/>
      </c>
      <c r="AG167" s="2">
        <f>IF(A167="","",COUNTIF(Activities!$B:$B,A167))</f>
        <v/>
      </c>
      <c r="BG167" s="2">
        <f>IF(COUNTA(BH167:BK167)=0,"",ROUND(AVERAGE(BH167:BK167),0))</f>
        <v/>
      </c>
      <c r="BH167" s="2">
        <f>IF(BL167="","",IF(BL167&gt;=90,"HOT",IF(BL167&gt;=75,"HIGH",IF(BL167&gt;=50,"MEDIUM","LOW"))))</f>
        <v/>
      </c>
      <c r="BL167" s="2">
        <f>IFERROR(BN167/12,"")</f>
        <v/>
      </c>
      <c r="BP167" s="15" t="n"/>
    </row>
    <row r="168" ht="15.75" customHeight="1" s="19">
      <c r="AD168" s="13" t="n"/>
      <c r="AE168" s="13">
        <f>IF(A168="","",IFERROR(MAXIFS(Activities!$D:$D,Activities!$B:$B,A168),""))</f>
        <v/>
      </c>
      <c r="AF168" s="13">
        <f>IF(A168="","",IFERROR(MINIFS(Follow_Ups!$G:$G,Follow_Ups!$B:$B,A168,Follow_Ups!$H:$H,"&lt;&gt;Completed",Follow_Ups!$G:$G,"&gt;="&amp;TODAY()),""))</f>
        <v/>
      </c>
      <c r="AG168" s="2">
        <f>IF(A168="","",COUNTIF(Activities!$B:$B,A168))</f>
        <v/>
      </c>
      <c r="BG168" s="2">
        <f>IF(COUNTA(BH168:BK168)=0,"",ROUND(AVERAGE(BH168:BK168),0))</f>
        <v/>
      </c>
      <c r="BH168" s="2">
        <f>IF(BL168="","",IF(BL168&gt;=90,"HOT",IF(BL168&gt;=75,"HIGH",IF(BL168&gt;=50,"MEDIUM","LOW"))))</f>
        <v/>
      </c>
      <c r="BL168" s="2">
        <f>IFERROR(BN168/12,"")</f>
        <v/>
      </c>
      <c r="BP168" s="15" t="n"/>
    </row>
    <row r="169" ht="15.75" customHeight="1" s="19">
      <c r="AD169" s="13" t="n"/>
      <c r="AE169" s="13">
        <f>IF(A169="","",IFERROR(MAXIFS(Activities!$D:$D,Activities!$B:$B,A169),""))</f>
        <v/>
      </c>
      <c r="AF169" s="13">
        <f>IF(A169="","",IFERROR(MINIFS(Follow_Ups!$G:$G,Follow_Ups!$B:$B,A169,Follow_Ups!$H:$H,"&lt;&gt;Completed",Follow_Ups!$G:$G,"&gt;="&amp;TODAY()),""))</f>
        <v/>
      </c>
      <c r="AG169" s="2">
        <f>IF(A169="","",COUNTIF(Activities!$B:$B,A169))</f>
        <v/>
      </c>
      <c r="BG169" s="2">
        <f>IF(COUNTA(BH169:BK169)=0,"",ROUND(AVERAGE(BH169:BK169),0))</f>
        <v/>
      </c>
      <c r="BH169" s="2">
        <f>IF(BL169="","",IF(BL169&gt;=90,"HOT",IF(BL169&gt;=75,"HIGH",IF(BL169&gt;=50,"MEDIUM","LOW"))))</f>
        <v/>
      </c>
      <c r="BL169" s="2">
        <f>IFERROR(BN169/12,"")</f>
        <v/>
      </c>
      <c r="BP169" s="15" t="n"/>
    </row>
    <row r="170" ht="15.75" customHeight="1" s="19">
      <c r="AD170" s="13" t="n"/>
      <c r="AE170" s="13">
        <f>IF(A170="","",IFERROR(MAXIFS(Activities!$D:$D,Activities!$B:$B,A170),""))</f>
        <v/>
      </c>
      <c r="AF170" s="13">
        <f>IF(A170="","",IFERROR(MINIFS(Follow_Ups!$G:$G,Follow_Ups!$B:$B,A170,Follow_Ups!$H:$H,"&lt;&gt;Completed",Follow_Ups!$G:$G,"&gt;="&amp;TODAY()),""))</f>
        <v/>
      </c>
      <c r="AG170" s="2">
        <f>IF(A170="","",COUNTIF(Activities!$B:$B,A170))</f>
        <v/>
      </c>
      <c r="BG170" s="2">
        <f>IF(COUNTA(BH170:BK170)=0,"",ROUND(AVERAGE(BH170:BK170),0))</f>
        <v/>
      </c>
      <c r="BH170" s="2">
        <f>IF(BL170="","",IF(BL170&gt;=90,"HOT",IF(BL170&gt;=75,"HIGH",IF(BL170&gt;=50,"MEDIUM","LOW"))))</f>
        <v/>
      </c>
      <c r="BL170" s="2">
        <f>IFERROR(BN170/12,"")</f>
        <v/>
      </c>
      <c r="BP170" s="15" t="n"/>
    </row>
    <row r="171" ht="15.75" customHeight="1" s="19">
      <c r="AD171" s="13" t="n"/>
      <c r="AE171" s="13">
        <f>IF(A171="","",IFERROR(MAXIFS(Activities!$D:$D,Activities!$B:$B,A171),""))</f>
        <v/>
      </c>
      <c r="AF171" s="13">
        <f>IF(A171="","",IFERROR(MINIFS(Follow_Ups!$G:$G,Follow_Ups!$B:$B,A171,Follow_Ups!$H:$H,"&lt;&gt;Completed",Follow_Ups!$G:$G,"&gt;="&amp;TODAY()),""))</f>
        <v/>
      </c>
      <c r="AG171" s="2">
        <f>IF(A171="","",COUNTIF(Activities!$B:$B,A171))</f>
        <v/>
      </c>
      <c r="BG171" s="2">
        <f>IF(COUNTA(BH171:BK171)=0,"",ROUND(AVERAGE(BH171:BK171),0))</f>
        <v/>
      </c>
      <c r="BH171" s="2">
        <f>IF(BL171="","",IF(BL171&gt;=90,"HOT",IF(BL171&gt;=75,"HIGH",IF(BL171&gt;=50,"MEDIUM","LOW"))))</f>
        <v/>
      </c>
      <c r="BL171" s="2">
        <f>IFERROR(BN171/12,"")</f>
        <v/>
      </c>
      <c r="BP171" s="15" t="n"/>
    </row>
    <row r="172" ht="15.75" customHeight="1" s="19">
      <c r="AD172" s="13" t="n"/>
      <c r="AE172" s="13">
        <f>IF(A172="","",IFERROR(MAXIFS(Activities!$D:$D,Activities!$B:$B,A172),""))</f>
        <v/>
      </c>
      <c r="AF172" s="13">
        <f>IF(A172="","",IFERROR(MINIFS(Follow_Ups!$G:$G,Follow_Ups!$B:$B,A172,Follow_Ups!$H:$H,"&lt;&gt;Completed",Follow_Ups!$G:$G,"&gt;="&amp;TODAY()),""))</f>
        <v/>
      </c>
      <c r="AG172" s="2">
        <f>IF(A172="","",COUNTIF(Activities!$B:$B,A172))</f>
        <v/>
      </c>
      <c r="BG172" s="2">
        <f>IF(COUNTA(BH172:BK172)=0,"",ROUND(AVERAGE(BH172:BK172),0))</f>
        <v/>
      </c>
      <c r="BH172" s="2">
        <f>IF(BL172="","",IF(BL172&gt;=90,"HOT",IF(BL172&gt;=75,"HIGH",IF(BL172&gt;=50,"MEDIUM","LOW"))))</f>
        <v/>
      </c>
      <c r="BL172" s="2">
        <f>IFERROR(BN172/12,"")</f>
        <v/>
      </c>
      <c r="BP172" s="15" t="n"/>
    </row>
    <row r="173" ht="15.75" customHeight="1" s="19">
      <c r="AD173" s="13" t="n"/>
      <c r="AE173" s="13">
        <f>IF(A173="","",IFERROR(MAXIFS(Activities!$D:$D,Activities!$B:$B,A173),""))</f>
        <v/>
      </c>
      <c r="AF173" s="13">
        <f>IF(A173="","",IFERROR(MINIFS(Follow_Ups!$G:$G,Follow_Ups!$B:$B,A173,Follow_Ups!$H:$H,"&lt;&gt;Completed",Follow_Ups!$G:$G,"&gt;="&amp;TODAY()),""))</f>
        <v/>
      </c>
      <c r="AG173" s="2">
        <f>IF(A173="","",COUNTIF(Activities!$B:$B,A173))</f>
        <v/>
      </c>
      <c r="BG173" s="2">
        <f>IF(COUNTA(BH173:BK173)=0,"",ROUND(AVERAGE(BH173:BK173),0))</f>
        <v/>
      </c>
      <c r="BH173" s="2">
        <f>IF(BL173="","",IF(BL173&gt;=90,"HOT",IF(BL173&gt;=75,"HIGH",IF(BL173&gt;=50,"MEDIUM","LOW"))))</f>
        <v/>
      </c>
      <c r="BL173" s="2">
        <f>IFERROR(BN173/12,"")</f>
        <v/>
      </c>
      <c r="BP173" s="15" t="n"/>
    </row>
    <row r="174" ht="15.75" customHeight="1" s="19">
      <c r="AD174" s="13" t="n"/>
      <c r="AE174" s="13">
        <f>IF(A174="","",IFERROR(MAXIFS(Activities!$D:$D,Activities!$B:$B,A174),""))</f>
        <v/>
      </c>
      <c r="AF174" s="13">
        <f>IF(A174="","",IFERROR(MINIFS(Follow_Ups!$G:$G,Follow_Ups!$B:$B,A174,Follow_Ups!$H:$H,"&lt;&gt;Completed",Follow_Ups!$G:$G,"&gt;="&amp;TODAY()),""))</f>
        <v/>
      </c>
      <c r="AG174" s="2">
        <f>IF(A174="","",COUNTIF(Activities!$B:$B,A174))</f>
        <v/>
      </c>
      <c r="BG174" s="2">
        <f>IF(COUNTA(BH174:BK174)=0,"",ROUND(AVERAGE(BH174:BK174),0))</f>
        <v/>
      </c>
      <c r="BH174" s="2">
        <f>IF(BL174="","",IF(BL174&gt;=90,"HOT",IF(BL174&gt;=75,"HIGH",IF(BL174&gt;=50,"MEDIUM","LOW"))))</f>
        <v/>
      </c>
      <c r="BL174" s="2">
        <f>IFERROR(BN174/12,"")</f>
        <v/>
      </c>
      <c r="BP174" s="15" t="n"/>
    </row>
    <row r="175" ht="15.75" customHeight="1" s="19">
      <c r="AD175" s="13" t="n"/>
      <c r="AE175" s="13">
        <f>IF(A175="","",IFERROR(MAXIFS(Activities!$D:$D,Activities!$B:$B,A175),""))</f>
        <v/>
      </c>
      <c r="AF175" s="13">
        <f>IF(A175="","",IFERROR(MINIFS(Follow_Ups!$G:$G,Follow_Ups!$B:$B,A175,Follow_Ups!$H:$H,"&lt;&gt;Completed",Follow_Ups!$G:$G,"&gt;="&amp;TODAY()),""))</f>
        <v/>
      </c>
      <c r="AG175" s="2">
        <f>IF(A175="","",COUNTIF(Activities!$B:$B,A175))</f>
        <v/>
      </c>
      <c r="BG175" s="2">
        <f>IF(COUNTA(BH175:BK175)=0,"",ROUND(AVERAGE(BH175:BK175),0))</f>
        <v/>
      </c>
      <c r="BH175" s="2">
        <f>IF(BL175="","",IF(BL175&gt;=90,"HOT",IF(BL175&gt;=75,"HIGH",IF(BL175&gt;=50,"MEDIUM","LOW"))))</f>
        <v/>
      </c>
      <c r="BL175" s="2">
        <f>IFERROR(BN175/12,"")</f>
        <v/>
      </c>
      <c r="BP175" s="15" t="n"/>
    </row>
    <row r="176" ht="15.75" customHeight="1" s="19">
      <c r="AD176" s="13" t="n"/>
      <c r="AE176" s="13">
        <f>IF(A176="","",IFERROR(MAXIFS(Activities!$D:$D,Activities!$B:$B,A176),""))</f>
        <v/>
      </c>
      <c r="AF176" s="13">
        <f>IF(A176="","",IFERROR(MINIFS(Follow_Ups!$G:$G,Follow_Ups!$B:$B,A176,Follow_Ups!$H:$H,"&lt;&gt;Completed",Follow_Ups!$G:$G,"&gt;="&amp;TODAY()),""))</f>
        <v/>
      </c>
      <c r="AG176" s="2">
        <f>IF(A176="","",COUNTIF(Activities!$B:$B,A176))</f>
        <v/>
      </c>
      <c r="BG176" s="2">
        <f>IF(COUNTA(BH176:BK176)=0,"",ROUND(AVERAGE(BH176:BK176),0))</f>
        <v/>
      </c>
      <c r="BH176" s="2">
        <f>IF(BL176="","",IF(BL176&gt;=90,"HOT",IF(BL176&gt;=75,"HIGH",IF(BL176&gt;=50,"MEDIUM","LOW"))))</f>
        <v/>
      </c>
      <c r="BL176" s="2">
        <f>IFERROR(BN176/12,"")</f>
        <v/>
      </c>
      <c r="BP176" s="15" t="n"/>
    </row>
    <row r="177" ht="15.75" customHeight="1" s="19">
      <c r="AD177" s="13" t="n"/>
      <c r="AE177" s="13">
        <f>IF(A177="","",IFERROR(MAXIFS(Activities!$D:$D,Activities!$B:$B,A177),""))</f>
        <v/>
      </c>
      <c r="AF177" s="13">
        <f>IF(A177="","",IFERROR(MINIFS(Follow_Ups!$G:$G,Follow_Ups!$B:$B,A177,Follow_Ups!$H:$H,"&lt;&gt;Completed",Follow_Ups!$G:$G,"&gt;="&amp;TODAY()),""))</f>
        <v/>
      </c>
      <c r="AG177" s="2">
        <f>IF(A177="","",COUNTIF(Activities!$B:$B,A177))</f>
        <v/>
      </c>
      <c r="BG177" s="2">
        <f>IF(COUNTA(BH177:BK177)=0,"",ROUND(AVERAGE(BH177:BK177),0))</f>
        <v/>
      </c>
      <c r="BH177" s="2">
        <f>IF(BL177="","",IF(BL177&gt;=90,"HOT",IF(BL177&gt;=75,"HIGH",IF(BL177&gt;=50,"MEDIUM","LOW"))))</f>
        <v/>
      </c>
      <c r="BL177" s="2">
        <f>IFERROR(BN177/12,"")</f>
        <v/>
      </c>
      <c r="BP177" s="15" t="n"/>
    </row>
    <row r="178" ht="15.75" customHeight="1" s="19">
      <c r="AD178" s="13" t="n"/>
      <c r="AE178" s="13">
        <f>IF(A178="","",IFERROR(MAXIFS(Activities!$D:$D,Activities!$B:$B,A178),""))</f>
        <v/>
      </c>
      <c r="AF178" s="13">
        <f>IF(A178="","",IFERROR(MINIFS(Follow_Ups!$G:$G,Follow_Ups!$B:$B,A178,Follow_Ups!$H:$H,"&lt;&gt;Completed",Follow_Ups!$G:$G,"&gt;="&amp;TODAY()),""))</f>
        <v/>
      </c>
      <c r="AG178" s="2">
        <f>IF(A178="","",COUNTIF(Activities!$B:$B,A178))</f>
        <v/>
      </c>
      <c r="BG178" s="2">
        <f>IF(COUNTA(BH178:BK178)=0,"",ROUND(AVERAGE(BH178:BK178),0))</f>
        <v/>
      </c>
      <c r="BH178" s="2">
        <f>IF(BL178="","",IF(BL178&gt;=90,"HOT",IF(BL178&gt;=75,"HIGH",IF(BL178&gt;=50,"MEDIUM","LOW"))))</f>
        <v/>
      </c>
      <c r="BL178" s="2">
        <f>IFERROR(BN178/12,"")</f>
        <v/>
      </c>
      <c r="BP178" s="15" t="n"/>
    </row>
    <row r="179" ht="15.75" customHeight="1" s="19">
      <c r="AD179" s="13" t="n"/>
      <c r="AE179" s="13">
        <f>IF(A179="","",IFERROR(MAXIFS(Activities!$D:$D,Activities!$B:$B,A179),""))</f>
        <v/>
      </c>
      <c r="AF179" s="13">
        <f>IF(A179="","",IFERROR(MINIFS(Follow_Ups!$G:$G,Follow_Ups!$B:$B,A179,Follow_Ups!$H:$H,"&lt;&gt;Completed",Follow_Ups!$G:$G,"&gt;="&amp;TODAY()),""))</f>
        <v/>
      </c>
      <c r="AG179" s="2">
        <f>IF(A179="","",COUNTIF(Activities!$B:$B,A179))</f>
        <v/>
      </c>
      <c r="BG179" s="2">
        <f>IF(COUNTA(BH179:BK179)=0,"",ROUND(AVERAGE(BH179:BK179),0))</f>
        <v/>
      </c>
      <c r="BH179" s="2">
        <f>IF(BL179="","",IF(BL179&gt;=90,"HOT",IF(BL179&gt;=75,"HIGH",IF(BL179&gt;=50,"MEDIUM","LOW"))))</f>
        <v/>
      </c>
      <c r="BL179" s="2">
        <f>IFERROR(BN179/12,"")</f>
        <v/>
      </c>
      <c r="BP179" s="15" t="n"/>
    </row>
    <row r="180" ht="15.75" customHeight="1" s="19">
      <c r="AD180" s="13" t="n"/>
      <c r="AE180" s="13">
        <f>IF(A180="","",IFERROR(MAXIFS(Activities!$D:$D,Activities!$B:$B,A180),""))</f>
        <v/>
      </c>
      <c r="AF180" s="13">
        <f>IF(A180="","",IFERROR(MINIFS(Follow_Ups!$G:$G,Follow_Ups!$B:$B,A180,Follow_Ups!$H:$H,"&lt;&gt;Completed",Follow_Ups!$G:$G,"&gt;="&amp;TODAY()),""))</f>
        <v/>
      </c>
      <c r="AG180" s="2">
        <f>IF(A180="","",COUNTIF(Activities!$B:$B,A180))</f>
        <v/>
      </c>
      <c r="BG180" s="2">
        <f>IF(COUNTA(BH180:BK180)=0,"",ROUND(AVERAGE(BH180:BK180),0))</f>
        <v/>
      </c>
      <c r="BH180" s="2">
        <f>IF(BL180="","",IF(BL180&gt;=90,"HOT",IF(BL180&gt;=75,"HIGH",IF(BL180&gt;=50,"MEDIUM","LOW"))))</f>
        <v/>
      </c>
      <c r="BL180" s="2">
        <f>IFERROR(BN180/12,"")</f>
        <v/>
      </c>
      <c r="BP180" s="15" t="n"/>
    </row>
    <row r="181" ht="15.75" customHeight="1" s="19">
      <c r="AD181" s="13" t="n"/>
      <c r="AE181" s="13">
        <f>IF(A181="","",IFERROR(MAXIFS(Activities!$D:$D,Activities!$B:$B,A181),""))</f>
        <v/>
      </c>
      <c r="AF181" s="13">
        <f>IF(A181="","",IFERROR(MINIFS(Follow_Ups!$G:$G,Follow_Ups!$B:$B,A181,Follow_Ups!$H:$H,"&lt;&gt;Completed",Follow_Ups!$G:$G,"&gt;="&amp;TODAY()),""))</f>
        <v/>
      </c>
      <c r="AG181" s="2">
        <f>IF(A181="","",COUNTIF(Activities!$B:$B,A181))</f>
        <v/>
      </c>
      <c r="BG181" s="2">
        <f>IF(COUNTA(BH181:BK181)=0,"",ROUND(AVERAGE(BH181:BK181),0))</f>
        <v/>
      </c>
      <c r="BH181" s="2">
        <f>IF(BL181="","",IF(BL181&gt;=90,"HOT",IF(BL181&gt;=75,"HIGH",IF(BL181&gt;=50,"MEDIUM","LOW"))))</f>
        <v/>
      </c>
      <c r="BL181" s="2">
        <f>IFERROR(BN181/12,"")</f>
        <v/>
      </c>
      <c r="BP181" s="15" t="n"/>
    </row>
    <row r="182" ht="15.75" customHeight="1" s="19">
      <c r="AD182" s="13" t="n"/>
      <c r="AE182" s="13">
        <f>IF(A182="","",IFERROR(MAXIFS(Activities!$D:$D,Activities!$B:$B,A182),""))</f>
        <v/>
      </c>
      <c r="AF182" s="13">
        <f>IF(A182="","",IFERROR(MINIFS(Follow_Ups!$G:$G,Follow_Ups!$B:$B,A182,Follow_Ups!$H:$H,"&lt;&gt;Completed",Follow_Ups!$G:$G,"&gt;="&amp;TODAY()),""))</f>
        <v/>
      </c>
      <c r="AG182" s="2">
        <f>IF(A182="","",COUNTIF(Activities!$B:$B,A182))</f>
        <v/>
      </c>
      <c r="BG182" s="2">
        <f>IF(COUNTA(BH182:BK182)=0,"",ROUND(AVERAGE(BH182:BK182),0))</f>
        <v/>
      </c>
      <c r="BH182" s="2">
        <f>IF(BL182="","",IF(BL182&gt;=90,"HOT",IF(BL182&gt;=75,"HIGH",IF(BL182&gt;=50,"MEDIUM","LOW"))))</f>
        <v/>
      </c>
      <c r="BL182" s="2">
        <f>IFERROR(BN182/12,"")</f>
        <v/>
      </c>
      <c r="BP182" s="15" t="n"/>
    </row>
    <row r="183" ht="15.75" customHeight="1" s="19">
      <c r="AD183" s="13" t="n"/>
      <c r="AE183" s="13">
        <f>IF(A183="","",IFERROR(MAXIFS(Activities!$D:$D,Activities!$B:$B,A183),""))</f>
        <v/>
      </c>
      <c r="AF183" s="13">
        <f>IF(A183="","",IFERROR(MINIFS(Follow_Ups!$G:$G,Follow_Ups!$B:$B,A183,Follow_Ups!$H:$H,"&lt;&gt;Completed",Follow_Ups!$G:$G,"&gt;="&amp;TODAY()),""))</f>
        <v/>
      </c>
      <c r="AG183" s="2">
        <f>IF(A183="","",COUNTIF(Activities!$B:$B,A183))</f>
        <v/>
      </c>
      <c r="BG183" s="2">
        <f>IF(COUNTA(BH183:BK183)=0,"",ROUND(AVERAGE(BH183:BK183),0))</f>
        <v/>
      </c>
      <c r="BH183" s="2">
        <f>IF(BL183="","",IF(BL183&gt;=90,"HOT",IF(BL183&gt;=75,"HIGH",IF(BL183&gt;=50,"MEDIUM","LOW"))))</f>
        <v/>
      </c>
      <c r="BL183" s="2">
        <f>IFERROR(BN183/12,"")</f>
        <v/>
      </c>
      <c r="BP183" s="15" t="n"/>
    </row>
    <row r="184" ht="15.75" customHeight="1" s="19">
      <c r="AD184" s="13" t="n"/>
      <c r="AE184" s="13">
        <f>IF(A184="","",IFERROR(MAXIFS(Activities!$D:$D,Activities!$B:$B,A184),""))</f>
        <v/>
      </c>
      <c r="AF184" s="13">
        <f>IF(A184="","",IFERROR(MINIFS(Follow_Ups!$G:$G,Follow_Ups!$B:$B,A184,Follow_Ups!$H:$H,"&lt;&gt;Completed",Follow_Ups!$G:$G,"&gt;="&amp;TODAY()),""))</f>
        <v/>
      </c>
      <c r="AG184" s="2">
        <f>IF(A184="","",COUNTIF(Activities!$B:$B,A184))</f>
        <v/>
      </c>
      <c r="BG184" s="2">
        <f>IF(COUNTA(BH184:BK184)=0,"",ROUND(AVERAGE(BH184:BK184),0))</f>
        <v/>
      </c>
      <c r="BH184" s="2">
        <f>IF(BL184="","",IF(BL184&gt;=90,"HOT",IF(BL184&gt;=75,"HIGH",IF(BL184&gt;=50,"MEDIUM","LOW"))))</f>
        <v/>
      </c>
      <c r="BL184" s="2">
        <f>IFERROR(BN184/12,"")</f>
        <v/>
      </c>
      <c r="BP184" s="15" t="n"/>
    </row>
    <row r="185" ht="15.75" customHeight="1" s="19">
      <c r="AD185" s="13" t="n"/>
      <c r="AE185" s="13">
        <f>IF(A185="","",IFERROR(MAXIFS(Activities!$D:$D,Activities!$B:$B,A185),""))</f>
        <v/>
      </c>
      <c r="AF185" s="13">
        <f>IF(A185="","",IFERROR(MINIFS(Follow_Ups!$G:$G,Follow_Ups!$B:$B,A185,Follow_Ups!$H:$H,"&lt;&gt;Completed",Follow_Ups!$G:$G,"&gt;="&amp;TODAY()),""))</f>
        <v/>
      </c>
      <c r="AG185" s="2">
        <f>IF(A185="","",COUNTIF(Activities!$B:$B,A185))</f>
        <v/>
      </c>
      <c r="BG185" s="2">
        <f>IF(COUNTA(BH185:BK185)=0,"",ROUND(AVERAGE(BH185:BK185),0))</f>
        <v/>
      </c>
      <c r="BH185" s="2">
        <f>IF(BL185="","",IF(BL185&gt;=90,"HOT",IF(BL185&gt;=75,"HIGH",IF(BL185&gt;=50,"MEDIUM","LOW"))))</f>
        <v/>
      </c>
      <c r="BL185" s="2">
        <f>IFERROR(BN185/12,"")</f>
        <v/>
      </c>
      <c r="BP185" s="15" t="n"/>
    </row>
    <row r="186" ht="15.75" customHeight="1" s="19">
      <c r="AD186" s="13" t="n"/>
      <c r="AE186" s="13">
        <f>IF(A186="","",IFERROR(MAXIFS(Activities!$D:$D,Activities!$B:$B,A186),""))</f>
        <v/>
      </c>
      <c r="AF186" s="13">
        <f>IF(A186="","",IFERROR(MINIFS(Follow_Ups!$G:$G,Follow_Ups!$B:$B,A186,Follow_Ups!$H:$H,"&lt;&gt;Completed",Follow_Ups!$G:$G,"&gt;="&amp;TODAY()),""))</f>
        <v/>
      </c>
      <c r="AG186" s="2">
        <f>IF(A186="","",COUNTIF(Activities!$B:$B,A186))</f>
        <v/>
      </c>
      <c r="BG186" s="2">
        <f>IF(COUNTA(BH186:BK186)=0,"",ROUND(AVERAGE(BH186:BK186),0))</f>
        <v/>
      </c>
      <c r="BH186" s="2">
        <f>IF(BL186="","",IF(BL186&gt;=90,"HOT",IF(BL186&gt;=75,"HIGH",IF(BL186&gt;=50,"MEDIUM","LOW"))))</f>
        <v/>
      </c>
      <c r="BL186" s="2">
        <f>IFERROR(BN186/12,"")</f>
        <v/>
      </c>
      <c r="BP186" s="15" t="n"/>
    </row>
    <row r="187" ht="15.75" customHeight="1" s="19">
      <c r="AD187" s="13" t="n"/>
      <c r="AE187" s="13">
        <f>IF(A187="","",IFERROR(MAXIFS(Activities!$D:$D,Activities!$B:$B,A187),""))</f>
        <v/>
      </c>
      <c r="AF187" s="13">
        <f>IF(A187="","",IFERROR(MINIFS(Follow_Ups!$G:$G,Follow_Ups!$B:$B,A187,Follow_Ups!$H:$H,"&lt;&gt;Completed",Follow_Ups!$G:$G,"&gt;="&amp;TODAY()),""))</f>
        <v/>
      </c>
      <c r="AG187" s="2">
        <f>IF(A187="","",COUNTIF(Activities!$B:$B,A187))</f>
        <v/>
      </c>
      <c r="BG187" s="2">
        <f>IF(COUNTA(BH187:BK187)=0,"",ROUND(AVERAGE(BH187:BK187),0))</f>
        <v/>
      </c>
      <c r="BH187" s="2">
        <f>IF(BL187="","",IF(BL187&gt;=90,"HOT",IF(BL187&gt;=75,"HIGH",IF(BL187&gt;=50,"MEDIUM","LOW"))))</f>
        <v/>
      </c>
      <c r="BL187" s="2">
        <f>IFERROR(BN187/12,"")</f>
        <v/>
      </c>
      <c r="BP187" s="15" t="n"/>
    </row>
    <row r="188" ht="15.75" customHeight="1" s="19">
      <c r="AD188" s="13" t="n"/>
      <c r="AE188" s="13">
        <f>IF(A188="","",IFERROR(MAXIFS(Activities!$D:$D,Activities!$B:$B,A188),""))</f>
        <v/>
      </c>
      <c r="AF188" s="13">
        <f>IF(A188="","",IFERROR(MINIFS(Follow_Ups!$G:$G,Follow_Ups!$B:$B,A188,Follow_Ups!$H:$H,"&lt;&gt;Completed",Follow_Ups!$G:$G,"&gt;="&amp;TODAY()),""))</f>
        <v/>
      </c>
      <c r="AG188" s="2">
        <f>IF(A188="","",COUNTIF(Activities!$B:$B,A188))</f>
        <v/>
      </c>
      <c r="BG188" s="2">
        <f>IF(COUNTA(BH188:BK188)=0,"",ROUND(AVERAGE(BH188:BK188),0))</f>
        <v/>
      </c>
      <c r="BH188" s="2">
        <f>IF(BL188="","",IF(BL188&gt;=90,"HOT",IF(BL188&gt;=75,"HIGH",IF(BL188&gt;=50,"MEDIUM","LOW"))))</f>
        <v/>
      </c>
      <c r="BL188" s="2">
        <f>IFERROR(BN188/12,"")</f>
        <v/>
      </c>
      <c r="BP188" s="15" t="n"/>
    </row>
    <row r="189" ht="15.75" customHeight="1" s="19">
      <c r="AD189" s="13" t="n"/>
      <c r="AE189" s="13">
        <f>IF(A189="","",IFERROR(MAXIFS(Activities!$D:$D,Activities!$B:$B,A189),""))</f>
        <v/>
      </c>
      <c r="AF189" s="13">
        <f>IF(A189="","",IFERROR(MINIFS(Follow_Ups!$G:$G,Follow_Ups!$B:$B,A189,Follow_Ups!$H:$H,"&lt;&gt;Completed",Follow_Ups!$G:$G,"&gt;="&amp;TODAY()),""))</f>
        <v/>
      </c>
      <c r="AG189" s="2">
        <f>IF(A189="","",COUNTIF(Activities!$B:$B,A189))</f>
        <v/>
      </c>
      <c r="BG189" s="2">
        <f>IF(COUNTA(BH189:BK189)=0,"",ROUND(AVERAGE(BH189:BK189),0))</f>
        <v/>
      </c>
      <c r="BH189" s="2">
        <f>IF(BL189="","",IF(BL189&gt;=90,"HOT",IF(BL189&gt;=75,"HIGH",IF(BL189&gt;=50,"MEDIUM","LOW"))))</f>
        <v/>
      </c>
      <c r="BL189" s="2">
        <f>IFERROR(BN189/12,"")</f>
        <v/>
      </c>
      <c r="BP189" s="15" t="n"/>
    </row>
    <row r="190" ht="15.75" customHeight="1" s="19">
      <c r="AD190" s="13" t="n"/>
      <c r="AE190" s="13">
        <f>IF(A190="","",IFERROR(MAXIFS(Activities!$D:$D,Activities!$B:$B,A190),""))</f>
        <v/>
      </c>
      <c r="AF190" s="13">
        <f>IF(A190="","",IFERROR(MINIFS(Follow_Ups!$G:$G,Follow_Ups!$B:$B,A190,Follow_Ups!$H:$H,"&lt;&gt;Completed",Follow_Ups!$G:$G,"&gt;="&amp;TODAY()),""))</f>
        <v/>
      </c>
      <c r="AG190" s="2">
        <f>IF(A190="","",COUNTIF(Activities!$B:$B,A190))</f>
        <v/>
      </c>
      <c r="BG190" s="2">
        <f>IF(COUNTA(BH190:BK190)=0,"",ROUND(AVERAGE(BH190:BK190),0))</f>
        <v/>
      </c>
      <c r="BH190" s="2">
        <f>IF(BL190="","",IF(BL190&gt;=90,"HOT",IF(BL190&gt;=75,"HIGH",IF(BL190&gt;=50,"MEDIUM","LOW"))))</f>
        <v/>
      </c>
      <c r="BL190" s="2">
        <f>IFERROR(BN190/12,"")</f>
        <v/>
      </c>
      <c r="BP190" s="15" t="n"/>
    </row>
    <row r="191" ht="15.75" customHeight="1" s="19">
      <c r="AD191" s="13" t="n"/>
      <c r="AE191" s="13">
        <f>IF(A191="","",IFERROR(MAXIFS(Activities!$D:$D,Activities!$B:$B,A191),""))</f>
        <v/>
      </c>
      <c r="AF191" s="13">
        <f>IF(A191="","",IFERROR(MINIFS(Follow_Ups!$G:$G,Follow_Ups!$B:$B,A191,Follow_Ups!$H:$H,"&lt;&gt;Completed",Follow_Ups!$G:$G,"&gt;="&amp;TODAY()),""))</f>
        <v/>
      </c>
      <c r="AG191" s="2">
        <f>IF(A191="","",COUNTIF(Activities!$B:$B,A191))</f>
        <v/>
      </c>
      <c r="BG191" s="2">
        <f>IF(COUNTA(BH191:BK191)=0,"",ROUND(AVERAGE(BH191:BK191),0))</f>
        <v/>
      </c>
      <c r="BH191" s="2">
        <f>IF(BL191="","",IF(BL191&gt;=90,"HOT",IF(BL191&gt;=75,"HIGH",IF(BL191&gt;=50,"MEDIUM","LOW"))))</f>
        <v/>
      </c>
      <c r="BL191" s="2">
        <f>IFERROR(BN191/12,"")</f>
        <v/>
      </c>
      <c r="BP191" s="15" t="n"/>
    </row>
    <row r="192" ht="15.75" customHeight="1" s="19">
      <c r="AD192" s="13" t="n"/>
      <c r="AE192" s="13">
        <f>IF(A192="","",IFERROR(MAXIFS(Activities!$D:$D,Activities!$B:$B,A192),""))</f>
        <v/>
      </c>
      <c r="AF192" s="13">
        <f>IF(A192="","",IFERROR(MINIFS(Follow_Ups!$G:$G,Follow_Ups!$B:$B,A192,Follow_Ups!$H:$H,"&lt;&gt;Completed",Follow_Ups!$G:$G,"&gt;="&amp;TODAY()),""))</f>
        <v/>
      </c>
      <c r="AG192" s="2">
        <f>IF(A192="","",COUNTIF(Activities!$B:$B,A192))</f>
        <v/>
      </c>
      <c r="BG192" s="2">
        <f>IF(COUNTA(BH192:BK192)=0,"",ROUND(AVERAGE(BH192:BK192),0))</f>
        <v/>
      </c>
      <c r="BH192" s="2">
        <f>IF(BL192="","",IF(BL192&gt;=90,"HOT",IF(BL192&gt;=75,"HIGH",IF(BL192&gt;=50,"MEDIUM","LOW"))))</f>
        <v/>
      </c>
      <c r="BL192" s="2">
        <f>IFERROR(BN192/12,"")</f>
        <v/>
      </c>
      <c r="BP192" s="15" t="n"/>
    </row>
    <row r="193" ht="15.75" customHeight="1" s="19">
      <c r="AD193" s="13" t="n"/>
      <c r="AE193" s="13">
        <f>IF(A193="","",IFERROR(MAXIFS(Activities!$D:$D,Activities!$B:$B,A193),""))</f>
        <v/>
      </c>
      <c r="AF193" s="13">
        <f>IF(A193="","",IFERROR(MINIFS(Follow_Ups!$G:$G,Follow_Ups!$B:$B,A193,Follow_Ups!$H:$H,"&lt;&gt;Completed",Follow_Ups!$G:$G,"&gt;="&amp;TODAY()),""))</f>
        <v/>
      </c>
      <c r="AG193" s="2">
        <f>IF(A193="","",COUNTIF(Activities!$B:$B,A193))</f>
        <v/>
      </c>
      <c r="BG193" s="2">
        <f>IF(COUNTA(BH193:BK193)=0,"",ROUND(AVERAGE(BH193:BK193),0))</f>
        <v/>
      </c>
      <c r="BH193" s="2">
        <f>IF(BL193="","",IF(BL193&gt;=90,"HOT",IF(BL193&gt;=75,"HIGH",IF(BL193&gt;=50,"MEDIUM","LOW"))))</f>
        <v/>
      </c>
      <c r="BL193" s="2">
        <f>IFERROR(BN193/12,"")</f>
        <v/>
      </c>
      <c r="BP193" s="15" t="n"/>
    </row>
    <row r="194" ht="15.75" customHeight="1" s="19">
      <c r="AD194" s="13" t="n"/>
      <c r="AE194" s="13">
        <f>IF(A194="","",IFERROR(MAXIFS(Activities!$D:$D,Activities!$B:$B,A194),""))</f>
        <v/>
      </c>
      <c r="AF194" s="13">
        <f>IF(A194="","",IFERROR(MINIFS(Follow_Ups!$G:$G,Follow_Ups!$B:$B,A194,Follow_Ups!$H:$H,"&lt;&gt;Completed",Follow_Ups!$G:$G,"&gt;="&amp;TODAY()),""))</f>
        <v/>
      </c>
      <c r="AG194" s="2">
        <f>IF(A194="","",COUNTIF(Activities!$B:$B,A194))</f>
        <v/>
      </c>
      <c r="BG194" s="2">
        <f>IF(COUNTA(BH194:BK194)=0,"",ROUND(AVERAGE(BH194:BK194),0))</f>
        <v/>
      </c>
      <c r="BH194" s="2">
        <f>IF(BL194="","",IF(BL194&gt;=90,"HOT",IF(BL194&gt;=75,"HIGH",IF(BL194&gt;=50,"MEDIUM","LOW"))))</f>
        <v/>
      </c>
      <c r="BL194" s="2">
        <f>IFERROR(BN194/12,"")</f>
        <v/>
      </c>
      <c r="BP194" s="15" t="n"/>
    </row>
    <row r="195" ht="15.75" customHeight="1" s="19">
      <c r="AD195" s="13" t="n"/>
      <c r="AE195" s="13">
        <f>IF(A195="","",IFERROR(MAXIFS(Activities!$D:$D,Activities!$B:$B,A195),""))</f>
        <v/>
      </c>
      <c r="AF195" s="13">
        <f>IF(A195="","",IFERROR(MINIFS(Follow_Ups!$G:$G,Follow_Ups!$B:$B,A195,Follow_Ups!$H:$H,"&lt;&gt;Completed",Follow_Ups!$G:$G,"&gt;="&amp;TODAY()),""))</f>
        <v/>
      </c>
      <c r="AG195" s="2">
        <f>IF(A195="","",COUNTIF(Activities!$B:$B,A195))</f>
        <v/>
      </c>
      <c r="BG195" s="2">
        <f>IF(COUNTA(BH195:BK195)=0,"",ROUND(AVERAGE(BH195:BK195),0))</f>
        <v/>
      </c>
      <c r="BH195" s="2">
        <f>IF(BL195="","",IF(BL195&gt;=90,"HOT",IF(BL195&gt;=75,"HIGH",IF(BL195&gt;=50,"MEDIUM","LOW"))))</f>
        <v/>
      </c>
      <c r="BL195" s="2">
        <f>IFERROR(BN195/12,"")</f>
        <v/>
      </c>
      <c r="BP195" s="15" t="n"/>
    </row>
    <row r="196" ht="15.75" customHeight="1" s="19">
      <c r="AD196" s="13" t="n"/>
      <c r="AE196" s="13">
        <f>IF(A196="","",IFERROR(MAXIFS(Activities!$D:$D,Activities!$B:$B,A196),""))</f>
        <v/>
      </c>
      <c r="AF196" s="13">
        <f>IF(A196="","",IFERROR(MINIFS(Follow_Ups!$G:$G,Follow_Ups!$B:$B,A196,Follow_Ups!$H:$H,"&lt;&gt;Completed",Follow_Ups!$G:$G,"&gt;="&amp;TODAY()),""))</f>
        <v/>
      </c>
      <c r="AG196" s="2">
        <f>IF(A196="","",COUNTIF(Activities!$B:$B,A196))</f>
        <v/>
      </c>
      <c r="BG196" s="2">
        <f>IF(COUNTA(BH196:BK196)=0,"",ROUND(AVERAGE(BH196:BK196),0))</f>
        <v/>
      </c>
      <c r="BH196" s="2">
        <f>IF(BL196="","",IF(BL196&gt;=90,"HOT",IF(BL196&gt;=75,"HIGH",IF(BL196&gt;=50,"MEDIUM","LOW"))))</f>
        <v/>
      </c>
      <c r="BL196" s="2">
        <f>IFERROR(BN196/12,"")</f>
        <v/>
      </c>
      <c r="BP196" s="15" t="n"/>
    </row>
    <row r="197" ht="15.75" customHeight="1" s="19">
      <c r="AD197" s="13" t="n"/>
      <c r="AE197" s="13">
        <f>IF(A197="","",IFERROR(MAXIFS(Activities!$D:$D,Activities!$B:$B,A197),""))</f>
        <v/>
      </c>
      <c r="AF197" s="13">
        <f>IF(A197="","",IFERROR(MINIFS(Follow_Ups!$G:$G,Follow_Ups!$B:$B,A197,Follow_Ups!$H:$H,"&lt;&gt;Completed",Follow_Ups!$G:$G,"&gt;="&amp;TODAY()),""))</f>
        <v/>
      </c>
      <c r="AG197" s="2">
        <f>IF(A197="","",COUNTIF(Activities!$B:$B,A197))</f>
        <v/>
      </c>
      <c r="BG197" s="2">
        <f>IF(COUNTA(BH197:BK197)=0,"",ROUND(AVERAGE(BH197:BK197),0))</f>
        <v/>
      </c>
      <c r="BH197" s="2">
        <f>IF(BL197="","",IF(BL197&gt;=90,"HOT",IF(BL197&gt;=75,"HIGH",IF(BL197&gt;=50,"MEDIUM","LOW"))))</f>
        <v/>
      </c>
      <c r="BL197" s="2">
        <f>IFERROR(BN197/12,"")</f>
        <v/>
      </c>
      <c r="BP197" s="15" t="n"/>
    </row>
    <row r="198" ht="15.75" customHeight="1" s="19">
      <c r="AD198" s="13" t="n"/>
      <c r="AE198" s="13">
        <f>IF(A198="","",IFERROR(MAXIFS(Activities!$D:$D,Activities!$B:$B,A198),""))</f>
        <v/>
      </c>
      <c r="AF198" s="13">
        <f>IF(A198="","",IFERROR(MINIFS(Follow_Ups!$G:$G,Follow_Ups!$B:$B,A198,Follow_Ups!$H:$H,"&lt;&gt;Completed",Follow_Ups!$G:$G,"&gt;="&amp;TODAY()),""))</f>
        <v/>
      </c>
      <c r="AG198" s="2">
        <f>IF(A198="","",COUNTIF(Activities!$B:$B,A198))</f>
        <v/>
      </c>
      <c r="BG198" s="2">
        <f>IF(COUNTA(BH198:BK198)=0,"",ROUND(AVERAGE(BH198:BK198),0))</f>
        <v/>
      </c>
      <c r="BH198" s="2">
        <f>IF(BL198="","",IF(BL198&gt;=90,"HOT",IF(BL198&gt;=75,"HIGH",IF(BL198&gt;=50,"MEDIUM","LOW"))))</f>
        <v/>
      </c>
      <c r="BL198" s="2">
        <f>IFERROR(BN198/12,"")</f>
        <v/>
      </c>
      <c r="BP198" s="15" t="n"/>
    </row>
    <row r="199" ht="15.75" customHeight="1" s="19">
      <c r="AD199" s="13" t="n"/>
      <c r="AE199" s="13">
        <f>IF(A199="","",IFERROR(MAXIFS(Activities!$D:$D,Activities!$B:$B,A199),""))</f>
        <v/>
      </c>
      <c r="AF199" s="13">
        <f>IF(A199="","",IFERROR(MINIFS(Follow_Ups!$G:$G,Follow_Ups!$B:$B,A199,Follow_Ups!$H:$H,"&lt;&gt;Completed",Follow_Ups!$G:$G,"&gt;="&amp;TODAY()),""))</f>
        <v/>
      </c>
      <c r="AG199" s="2">
        <f>IF(A199="","",COUNTIF(Activities!$B:$B,A199))</f>
        <v/>
      </c>
      <c r="BG199" s="2">
        <f>IF(COUNTA(BH199:BK199)=0,"",ROUND(AVERAGE(BH199:BK199),0))</f>
        <v/>
      </c>
      <c r="BH199" s="2">
        <f>IF(BL199="","",IF(BL199&gt;=90,"HOT",IF(BL199&gt;=75,"HIGH",IF(BL199&gt;=50,"MEDIUM","LOW"))))</f>
        <v/>
      </c>
      <c r="BL199" s="2">
        <f>IFERROR(BN199/12,"")</f>
        <v/>
      </c>
      <c r="BP199" s="15" t="n"/>
    </row>
    <row r="200" ht="15.75" customHeight="1" s="19">
      <c r="AD200" s="13" t="n"/>
      <c r="AE200" s="13">
        <f>IF(A200="","",IFERROR(MAXIFS(Activities!$D:$D,Activities!$B:$B,A200),""))</f>
        <v/>
      </c>
      <c r="AF200" s="13">
        <f>IF(A200="","",IFERROR(MINIFS(Follow_Ups!$G:$G,Follow_Ups!$B:$B,A200,Follow_Ups!$H:$H,"&lt;&gt;Completed",Follow_Ups!$G:$G,"&gt;="&amp;TODAY()),""))</f>
        <v/>
      </c>
      <c r="AG200" s="2">
        <f>IF(A200="","",COUNTIF(Activities!$B:$B,A200))</f>
        <v/>
      </c>
      <c r="BG200" s="2">
        <f>IF(COUNTA(BH200:BK200)=0,"",ROUND(AVERAGE(BH200:BK200),0))</f>
        <v/>
      </c>
      <c r="BH200" s="2">
        <f>IF(BL200="","",IF(BL200&gt;=90,"HOT",IF(BL200&gt;=75,"HIGH",IF(BL200&gt;=50,"MEDIUM","LOW"))))</f>
        <v/>
      </c>
      <c r="BL200" s="2">
        <f>IFERROR(BN200/12,"")</f>
        <v/>
      </c>
      <c r="BP200" s="15" t="n"/>
    </row>
    <row r="201" ht="15.75" customHeight="1" s="19">
      <c r="AD201" s="13" t="n"/>
      <c r="AE201" s="13">
        <f>IF(A201="","",IFERROR(MAXIFS(Activities!$D:$D,Activities!$B:$B,A201),""))</f>
        <v/>
      </c>
      <c r="AF201" s="13">
        <f>IF(A201="","",IFERROR(MINIFS(Follow_Ups!$G:$G,Follow_Ups!$B:$B,A201,Follow_Ups!$H:$H,"&lt;&gt;Completed",Follow_Ups!$G:$G,"&gt;="&amp;TODAY()),""))</f>
        <v/>
      </c>
      <c r="AG201" s="2">
        <f>IF(A201="","",COUNTIF(Activities!$B:$B,A201))</f>
        <v/>
      </c>
      <c r="BG201" s="2">
        <f>IF(COUNTA(BH201:BK201)=0,"",ROUND(AVERAGE(BH201:BK201),0))</f>
        <v/>
      </c>
      <c r="BH201" s="2">
        <f>IF(BL201="","",IF(BL201&gt;=90,"HOT",IF(BL201&gt;=75,"HIGH",IF(BL201&gt;=50,"MEDIUM","LOW"))))</f>
        <v/>
      </c>
      <c r="BL201" s="2">
        <f>IFERROR(BN201/12,"")</f>
        <v/>
      </c>
      <c r="BP201" s="15" t="n"/>
    </row>
    <row r="202" ht="15.75" customHeight="1" s="19">
      <c r="AD202" s="13" t="n"/>
      <c r="AE202" s="13">
        <f>IF(A202="","",IFERROR(MAXIFS(Activities!$D:$D,Activities!$B:$B,A202),""))</f>
        <v/>
      </c>
      <c r="AF202" s="13">
        <f>IF(A202="","",IFERROR(MINIFS(Follow_Ups!$G:$G,Follow_Ups!$B:$B,A202,Follow_Ups!$H:$H,"&lt;&gt;Completed",Follow_Ups!$G:$G,"&gt;="&amp;TODAY()),""))</f>
        <v/>
      </c>
      <c r="AG202" s="2">
        <f>IF(A202="","",COUNTIF(Activities!$B:$B,A202))</f>
        <v/>
      </c>
      <c r="BG202" s="2">
        <f>IF(COUNTA(BH202:BK202)=0,"",ROUND(AVERAGE(BH202:BK202),0))</f>
        <v/>
      </c>
      <c r="BH202" s="2">
        <f>IF(BL202="","",IF(BL202&gt;=90,"HOT",IF(BL202&gt;=75,"HIGH",IF(BL202&gt;=50,"MEDIUM","LOW"))))</f>
        <v/>
      </c>
      <c r="BL202" s="2">
        <f>IFERROR(BN202/12,"")</f>
        <v/>
      </c>
      <c r="BP202" s="15" t="n"/>
    </row>
    <row r="203" ht="15.75" customHeight="1" s="19">
      <c r="AD203" s="13" t="n"/>
      <c r="AE203" s="13">
        <f>IF(A203="","",IFERROR(MAXIFS(Activities!$D:$D,Activities!$B:$B,A203),""))</f>
        <v/>
      </c>
      <c r="AF203" s="13">
        <f>IF(A203="","",IFERROR(MINIFS(Follow_Ups!$G:$G,Follow_Ups!$B:$B,A203,Follow_Ups!$H:$H,"&lt;&gt;Completed",Follow_Ups!$G:$G,"&gt;="&amp;TODAY()),""))</f>
        <v/>
      </c>
      <c r="AG203" s="2">
        <f>IF(A203="","",COUNTIF(Activities!$B:$B,A203))</f>
        <v/>
      </c>
      <c r="BG203" s="2">
        <f>IF(COUNTA(BH203:BK203)=0,"",ROUND(AVERAGE(BH203:BK203),0))</f>
        <v/>
      </c>
      <c r="BH203" s="2">
        <f>IF(BL203="","",IF(BL203&gt;=90,"HOT",IF(BL203&gt;=75,"HIGH",IF(BL203&gt;=50,"MEDIUM","LOW"))))</f>
        <v/>
      </c>
      <c r="BL203" s="2">
        <f>IFERROR(BN203/12,"")</f>
        <v/>
      </c>
      <c r="BP203" s="15" t="n"/>
    </row>
    <row r="204" ht="15.75" customHeight="1" s="19">
      <c r="AD204" s="13" t="n"/>
      <c r="AE204" s="13">
        <f>IF(A204="","",IFERROR(MAXIFS(Activities!$D:$D,Activities!$B:$B,A204),""))</f>
        <v/>
      </c>
      <c r="AF204" s="13">
        <f>IF(A204="","",IFERROR(MINIFS(Follow_Ups!$G:$G,Follow_Ups!$B:$B,A204,Follow_Ups!$H:$H,"&lt;&gt;Completed",Follow_Ups!$G:$G,"&gt;="&amp;TODAY()),""))</f>
        <v/>
      </c>
      <c r="AG204" s="2">
        <f>IF(A204="","",COUNTIF(Activities!$B:$B,A204))</f>
        <v/>
      </c>
      <c r="BG204" s="2">
        <f>IF(COUNTA(BH204:BK204)=0,"",ROUND(AVERAGE(BH204:BK204),0))</f>
        <v/>
      </c>
      <c r="BH204" s="2">
        <f>IF(BL204="","",IF(BL204&gt;=90,"HOT",IF(BL204&gt;=75,"HIGH",IF(BL204&gt;=50,"MEDIUM","LOW"))))</f>
        <v/>
      </c>
      <c r="BL204" s="2">
        <f>IFERROR(BN204/12,"")</f>
        <v/>
      </c>
      <c r="BP204" s="15" t="n"/>
    </row>
    <row r="205" ht="15.75" customHeight="1" s="19">
      <c r="AD205" s="13" t="n"/>
      <c r="AE205" s="13">
        <f>IF(A205="","",IFERROR(MAXIFS(Activities!$D:$D,Activities!$B:$B,A205),""))</f>
        <v/>
      </c>
      <c r="AF205" s="13">
        <f>IF(A205="","",IFERROR(MINIFS(Follow_Ups!$G:$G,Follow_Ups!$B:$B,A205,Follow_Ups!$H:$H,"&lt;&gt;Completed",Follow_Ups!$G:$G,"&gt;="&amp;TODAY()),""))</f>
        <v/>
      </c>
      <c r="AG205" s="2">
        <f>IF(A205="","",COUNTIF(Activities!$B:$B,A205))</f>
        <v/>
      </c>
      <c r="BG205" s="2">
        <f>IF(COUNTA(BH205:BK205)=0,"",ROUND(AVERAGE(BH205:BK205),0))</f>
        <v/>
      </c>
      <c r="BH205" s="2">
        <f>IF(BL205="","",IF(BL205&gt;=90,"HOT",IF(BL205&gt;=75,"HIGH",IF(BL205&gt;=50,"MEDIUM","LOW"))))</f>
        <v/>
      </c>
      <c r="BL205" s="2">
        <f>IFERROR(BN205/12,"")</f>
        <v/>
      </c>
      <c r="BP205" s="15" t="n"/>
    </row>
    <row r="206" ht="15.75" customHeight="1" s="19">
      <c r="AD206" s="13" t="n"/>
      <c r="AE206" s="13">
        <f>IF(A206="","",IFERROR(MAXIFS(Activities!$D:$D,Activities!$B:$B,A206),""))</f>
        <v/>
      </c>
      <c r="AF206" s="13">
        <f>IF(A206="","",IFERROR(MINIFS(Follow_Ups!$G:$G,Follow_Ups!$B:$B,A206,Follow_Ups!$H:$H,"&lt;&gt;Completed",Follow_Ups!$G:$G,"&gt;="&amp;TODAY()),""))</f>
        <v/>
      </c>
      <c r="AG206" s="2">
        <f>IF(A206="","",COUNTIF(Activities!$B:$B,A206))</f>
        <v/>
      </c>
      <c r="BG206" s="2">
        <f>IF(COUNTA(BH206:BK206)=0,"",ROUND(AVERAGE(BH206:BK206),0))</f>
        <v/>
      </c>
      <c r="BH206" s="2">
        <f>IF(BL206="","",IF(BL206&gt;=90,"HOT",IF(BL206&gt;=75,"HIGH",IF(BL206&gt;=50,"MEDIUM","LOW"))))</f>
        <v/>
      </c>
      <c r="BL206" s="2">
        <f>IFERROR(BN206/12,"")</f>
        <v/>
      </c>
      <c r="BP206" s="15" t="n"/>
    </row>
    <row r="207" ht="15.75" customHeight="1" s="19">
      <c r="AD207" s="13" t="n"/>
      <c r="AE207" s="13">
        <f>IF(A207="","",IFERROR(MAXIFS(Activities!$D:$D,Activities!$B:$B,A207),""))</f>
        <v/>
      </c>
      <c r="AF207" s="13">
        <f>IF(A207="","",IFERROR(MINIFS(Follow_Ups!$G:$G,Follow_Ups!$B:$B,A207,Follow_Ups!$H:$H,"&lt;&gt;Completed",Follow_Ups!$G:$G,"&gt;="&amp;TODAY()),""))</f>
        <v/>
      </c>
      <c r="AG207" s="2">
        <f>IF(A207="","",COUNTIF(Activities!$B:$B,A207))</f>
        <v/>
      </c>
      <c r="BG207" s="2">
        <f>IF(COUNTA(BH207:BK207)=0,"",ROUND(AVERAGE(BH207:BK207),0))</f>
        <v/>
      </c>
      <c r="BH207" s="2">
        <f>IF(BL207="","",IF(BL207&gt;=90,"HOT",IF(BL207&gt;=75,"HIGH",IF(BL207&gt;=50,"MEDIUM","LOW"))))</f>
        <v/>
      </c>
      <c r="BL207" s="2">
        <f>IFERROR(BN207/12,"")</f>
        <v/>
      </c>
      <c r="BP207" s="15" t="n"/>
    </row>
    <row r="208" ht="15.75" customHeight="1" s="19">
      <c r="AD208" s="13" t="n"/>
      <c r="AE208" s="13">
        <f>IF(A208="","",IFERROR(MAXIFS(Activities!$D:$D,Activities!$B:$B,A208),""))</f>
        <v/>
      </c>
      <c r="AF208" s="13">
        <f>IF(A208="","",IFERROR(MINIFS(Follow_Ups!$G:$G,Follow_Ups!$B:$B,A208,Follow_Ups!$H:$H,"&lt;&gt;Completed",Follow_Ups!$G:$G,"&gt;="&amp;TODAY()),""))</f>
        <v/>
      </c>
      <c r="AG208" s="2">
        <f>IF(A208="","",COUNTIF(Activities!$B:$B,A208))</f>
        <v/>
      </c>
      <c r="BG208" s="2">
        <f>IF(COUNTA(BH208:BK208)=0,"",ROUND(AVERAGE(BH208:BK208),0))</f>
        <v/>
      </c>
      <c r="BH208" s="2">
        <f>IF(BL208="","",IF(BL208&gt;=90,"HOT",IF(BL208&gt;=75,"HIGH",IF(BL208&gt;=50,"MEDIUM","LOW"))))</f>
        <v/>
      </c>
      <c r="BL208" s="2">
        <f>IFERROR(BN208/12,"")</f>
        <v/>
      </c>
      <c r="BP208" s="15" t="n"/>
    </row>
    <row r="209" ht="15.75" customHeight="1" s="19">
      <c r="AD209" s="13" t="n"/>
      <c r="AE209" s="13">
        <f>IF(A209="","",IFERROR(MAXIFS(Activities!$D:$D,Activities!$B:$B,A209),""))</f>
        <v/>
      </c>
      <c r="AF209" s="13">
        <f>IF(A209="","",IFERROR(MINIFS(Follow_Ups!$G:$G,Follow_Ups!$B:$B,A209,Follow_Ups!$H:$H,"&lt;&gt;Completed",Follow_Ups!$G:$G,"&gt;="&amp;TODAY()),""))</f>
        <v/>
      </c>
      <c r="AG209" s="2">
        <f>IF(A209="","",COUNTIF(Activities!$B:$B,A209))</f>
        <v/>
      </c>
      <c r="BG209" s="2">
        <f>IF(COUNTA(BH209:BK209)=0,"",ROUND(AVERAGE(BH209:BK209),0))</f>
        <v/>
      </c>
      <c r="BH209" s="2">
        <f>IF(BL209="","",IF(BL209&gt;=90,"HOT",IF(BL209&gt;=75,"HIGH",IF(BL209&gt;=50,"MEDIUM","LOW"))))</f>
        <v/>
      </c>
      <c r="BL209" s="2">
        <f>IFERROR(BN209/12,"")</f>
        <v/>
      </c>
      <c r="BP209" s="15" t="n"/>
    </row>
    <row r="210" ht="15.75" customHeight="1" s="19">
      <c r="AD210" s="13" t="n"/>
      <c r="AE210" s="13">
        <f>IF(A210="","",IFERROR(MAXIFS(Activities!$D:$D,Activities!$B:$B,A210),""))</f>
        <v/>
      </c>
      <c r="AF210" s="13">
        <f>IF(A210="","",IFERROR(MINIFS(Follow_Ups!$G:$G,Follow_Ups!$B:$B,A210,Follow_Ups!$H:$H,"&lt;&gt;Completed",Follow_Ups!$G:$G,"&gt;="&amp;TODAY()),""))</f>
        <v/>
      </c>
      <c r="AG210" s="2">
        <f>IF(A210="","",COUNTIF(Activities!$B:$B,A210))</f>
        <v/>
      </c>
      <c r="BG210" s="2">
        <f>IF(COUNTA(BH210:BK210)=0,"",ROUND(AVERAGE(BH210:BK210),0))</f>
        <v/>
      </c>
      <c r="BH210" s="2">
        <f>IF(BL210="","",IF(BL210&gt;=90,"HOT",IF(BL210&gt;=75,"HIGH",IF(BL210&gt;=50,"MEDIUM","LOW"))))</f>
        <v/>
      </c>
      <c r="BL210" s="2">
        <f>IFERROR(BN210/12,"")</f>
        <v/>
      </c>
      <c r="BP210" s="15" t="n"/>
    </row>
    <row r="211" ht="15.75" customHeight="1" s="19">
      <c r="AD211" s="13" t="n"/>
      <c r="AE211" s="13">
        <f>IF(A211="","",IFERROR(MAXIFS(Activities!$D:$D,Activities!$B:$B,A211),""))</f>
        <v/>
      </c>
      <c r="AF211" s="13">
        <f>IF(A211="","",IFERROR(MINIFS(Follow_Ups!$G:$G,Follow_Ups!$B:$B,A211,Follow_Ups!$H:$H,"&lt;&gt;Completed",Follow_Ups!$G:$G,"&gt;="&amp;TODAY()),""))</f>
        <v/>
      </c>
      <c r="AG211" s="2">
        <f>IF(A211="","",COUNTIF(Activities!$B:$B,A211))</f>
        <v/>
      </c>
      <c r="BG211" s="2">
        <f>IF(COUNTA(BH211:BK211)=0,"",ROUND(AVERAGE(BH211:BK211),0))</f>
        <v/>
      </c>
      <c r="BH211" s="2">
        <f>IF(BL211="","",IF(BL211&gt;=90,"HOT",IF(BL211&gt;=75,"HIGH",IF(BL211&gt;=50,"MEDIUM","LOW"))))</f>
        <v/>
      </c>
      <c r="BL211" s="2">
        <f>IFERROR(BN211/12,"")</f>
        <v/>
      </c>
      <c r="BP211" s="15" t="n"/>
    </row>
    <row r="212" ht="15.75" customHeight="1" s="19">
      <c r="AD212" s="13" t="n"/>
      <c r="AE212" s="13">
        <f>IF(A212="","",IFERROR(MAXIFS(Activities!$D:$D,Activities!$B:$B,A212),""))</f>
        <v/>
      </c>
      <c r="AF212" s="13">
        <f>IF(A212="","",IFERROR(MINIFS(Follow_Ups!$G:$G,Follow_Ups!$B:$B,A212,Follow_Ups!$H:$H,"&lt;&gt;Completed",Follow_Ups!$G:$G,"&gt;="&amp;TODAY()),""))</f>
        <v/>
      </c>
      <c r="AG212" s="2">
        <f>IF(A212="","",COUNTIF(Activities!$B:$B,A212))</f>
        <v/>
      </c>
      <c r="BG212" s="2">
        <f>IF(COUNTA(BH212:BK212)=0,"",ROUND(AVERAGE(BH212:BK212),0))</f>
        <v/>
      </c>
      <c r="BH212" s="2">
        <f>IF(BL212="","",IF(BL212&gt;=90,"HOT",IF(BL212&gt;=75,"HIGH",IF(BL212&gt;=50,"MEDIUM","LOW"))))</f>
        <v/>
      </c>
      <c r="BL212" s="2">
        <f>IFERROR(BN212/12,"")</f>
        <v/>
      </c>
      <c r="BP212" s="15" t="n"/>
    </row>
    <row r="213" ht="15.75" customHeight="1" s="19">
      <c r="AD213" s="13" t="n"/>
      <c r="AE213" s="13">
        <f>IF(A213="","",IFERROR(MAXIFS(Activities!$D:$D,Activities!$B:$B,A213),""))</f>
        <v/>
      </c>
      <c r="AF213" s="13">
        <f>IF(A213="","",IFERROR(MINIFS(Follow_Ups!$G:$G,Follow_Ups!$B:$B,A213,Follow_Ups!$H:$H,"&lt;&gt;Completed",Follow_Ups!$G:$G,"&gt;="&amp;TODAY()),""))</f>
        <v/>
      </c>
      <c r="AG213" s="2">
        <f>IF(A213="","",COUNTIF(Activities!$B:$B,A213))</f>
        <v/>
      </c>
      <c r="BG213" s="2">
        <f>IF(COUNTA(BH213:BK213)=0,"",ROUND(AVERAGE(BH213:BK213),0))</f>
        <v/>
      </c>
      <c r="BH213" s="2">
        <f>IF(BL213="","",IF(BL213&gt;=90,"HOT",IF(BL213&gt;=75,"HIGH",IF(BL213&gt;=50,"MEDIUM","LOW"))))</f>
        <v/>
      </c>
      <c r="BL213" s="2">
        <f>IFERROR(BN213/12,"")</f>
        <v/>
      </c>
      <c r="BP213" s="15" t="n"/>
    </row>
    <row r="214" ht="15.75" customHeight="1" s="19">
      <c r="AD214" s="13" t="n"/>
      <c r="AE214" s="13">
        <f>IF(A214="","",IFERROR(MAXIFS(Activities!$D:$D,Activities!$B:$B,A214),""))</f>
        <v/>
      </c>
      <c r="AF214" s="13">
        <f>IF(A214="","",IFERROR(MINIFS(Follow_Ups!$G:$G,Follow_Ups!$B:$B,A214,Follow_Ups!$H:$H,"&lt;&gt;Completed",Follow_Ups!$G:$G,"&gt;="&amp;TODAY()),""))</f>
        <v/>
      </c>
      <c r="AG214" s="2">
        <f>IF(A214="","",COUNTIF(Activities!$B:$B,A214))</f>
        <v/>
      </c>
      <c r="BG214" s="2">
        <f>IF(COUNTA(BH214:BK214)=0,"",ROUND(AVERAGE(BH214:BK214),0))</f>
        <v/>
      </c>
      <c r="BH214" s="2">
        <f>IF(BL214="","",IF(BL214&gt;=90,"HOT",IF(BL214&gt;=75,"HIGH",IF(BL214&gt;=50,"MEDIUM","LOW"))))</f>
        <v/>
      </c>
      <c r="BL214" s="2">
        <f>IFERROR(BN214/12,"")</f>
        <v/>
      </c>
      <c r="BP214" s="15" t="n"/>
    </row>
    <row r="215" ht="15.75" customHeight="1" s="19">
      <c r="AD215" s="13" t="n"/>
      <c r="AE215" s="13">
        <f>IF(A215="","",IFERROR(MAXIFS(Activities!$D:$D,Activities!$B:$B,A215),""))</f>
        <v/>
      </c>
      <c r="AF215" s="13">
        <f>IF(A215="","",IFERROR(MINIFS(Follow_Ups!$G:$G,Follow_Ups!$B:$B,A215,Follow_Ups!$H:$H,"&lt;&gt;Completed",Follow_Ups!$G:$G,"&gt;="&amp;TODAY()),""))</f>
        <v/>
      </c>
      <c r="AG215" s="2">
        <f>IF(A215="","",COUNTIF(Activities!$B:$B,A215))</f>
        <v/>
      </c>
      <c r="BG215" s="2">
        <f>IF(COUNTA(BH215:BK215)=0,"",ROUND(AVERAGE(BH215:BK215),0))</f>
        <v/>
      </c>
      <c r="BH215" s="2">
        <f>IF(BL215="","",IF(BL215&gt;=90,"HOT",IF(BL215&gt;=75,"HIGH",IF(BL215&gt;=50,"MEDIUM","LOW"))))</f>
        <v/>
      </c>
      <c r="BL215" s="2">
        <f>IFERROR(BN215/12,"")</f>
        <v/>
      </c>
      <c r="BP215" s="15" t="n"/>
    </row>
    <row r="216" ht="15.75" customHeight="1" s="19">
      <c r="AD216" s="13" t="n"/>
      <c r="AE216" s="13">
        <f>IF(A216="","",IFERROR(MAXIFS(Activities!$D:$D,Activities!$B:$B,A216),""))</f>
        <v/>
      </c>
      <c r="AF216" s="13">
        <f>IF(A216="","",IFERROR(MINIFS(Follow_Ups!$G:$G,Follow_Ups!$B:$B,A216,Follow_Ups!$H:$H,"&lt;&gt;Completed",Follow_Ups!$G:$G,"&gt;="&amp;TODAY()),""))</f>
        <v/>
      </c>
      <c r="AG216" s="2">
        <f>IF(A216="","",COUNTIF(Activities!$B:$B,A216))</f>
        <v/>
      </c>
      <c r="BG216" s="2">
        <f>IF(COUNTA(BH216:BK216)=0,"",ROUND(AVERAGE(BH216:BK216),0))</f>
        <v/>
      </c>
      <c r="BH216" s="2">
        <f>IF(BL216="","",IF(BL216&gt;=90,"HOT",IF(BL216&gt;=75,"HIGH",IF(BL216&gt;=50,"MEDIUM","LOW"))))</f>
        <v/>
      </c>
      <c r="BL216" s="2">
        <f>IFERROR(BN216/12,"")</f>
        <v/>
      </c>
      <c r="BP216" s="15" t="n"/>
    </row>
    <row r="217" ht="15.75" customHeight="1" s="19">
      <c r="AD217" s="13" t="n"/>
      <c r="AE217" s="13">
        <f>IF(A217="","",IFERROR(MAXIFS(Activities!$D:$D,Activities!$B:$B,A217),""))</f>
        <v/>
      </c>
      <c r="AF217" s="13">
        <f>IF(A217="","",IFERROR(MINIFS(Follow_Ups!$G:$G,Follow_Ups!$B:$B,A217,Follow_Ups!$H:$H,"&lt;&gt;Completed",Follow_Ups!$G:$G,"&gt;="&amp;TODAY()),""))</f>
        <v/>
      </c>
      <c r="AG217" s="2">
        <f>IF(A217="","",COUNTIF(Activities!$B:$B,A217))</f>
        <v/>
      </c>
      <c r="BG217" s="2">
        <f>IF(COUNTA(BH217:BK217)=0,"",ROUND(AVERAGE(BH217:BK217),0))</f>
        <v/>
      </c>
      <c r="BH217" s="2">
        <f>IF(BL217="","",IF(BL217&gt;=90,"HOT",IF(BL217&gt;=75,"HIGH",IF(BL217&gt;=50,"MEDIUM","LOW"))))</f>
        <v/>
      </c>
      <c r="BL217" s="2">
        <f>IFERROR(BN217/12,"")</f>
        <v/>
      </c>
      <c r="BP217" s="15" t="n"/>
    </row>
    <row r="218" ht="15.75" customHeight="1" s="19">
      <c r="AD218" s="13" t="n"/>
      <c r="AE218" s="13">
        <f>IF(A218="","",IFERROR(MAXIFS(Activities!$D:$D,Activities!$B:$B,A218),""))</f>
        <v/>
      </c>
      <c r="AF218" s="13">
        <f>IF(A218="","",IFERROR(MINIFS(Follow_Ups!$G:$G,Follow_Ups!$B:$B,A218,Follow_Ups!$H:$H,"&lt;&gt;Completed",Follow_Ups!$G:$G,"&gt;="&amp;TODAY()),""))</f>
        <v/>
      </c>
      <c r="AG218" s="2">
        <f>IF(A218="","",COUNTIF(Activities!$B:$B,A218))</f>
        <v/>
      </c>
      <c r="BG218" s="2">
        <f>IF(COUNTA(BH218:BK218)=0,"",ROUND(AVERAGE(BH218:BK218),0))</f>
        <v/>
      </c>
      <c r="BH218" s="2">
        <f>IF(BL218="","",IF(BL218&gt;=90,"HOT",IF(BL218&gt;=75,"HIGH",IF(BL218&gt;=50,"MEDIUM","LOW"))))</f>
        <v/>
      </c>
      <c r="BL218" s="2">
        <f>IFERROR(BN218/12,"")</f>
        <v/>
      </c>
      <c r="BP218" s="15" t="n"/>
    </row>
    <row r="219" ht="15.75" customHeight="1" s="19">
      <c r="AD219" s="13" t="n"/>
      <c r="AE219" s="13">
        <f>IF(A219="","",IFERROR(MAXIFS(Activities!$D:$D,Activities!$B:$B,A219),""))</f>
        <v/>
      </c>
      <c r="AF219" s="13">
        <f>IF(A219="","",IFERROR(MINIFS(Follow_Ups!$G:$G,Follow_Ups!$B:$B,A219,Follow_Ups!$H:$H,"&lt;&gt;Completed",Follow_Ups!$G:$G,"&gt;="&amp;TODAY()),""))</f>
        <v/>
      </c>
      <c r="AG219" s="2">
        <f>IF(A219="","",COUNTIF(Activities!$B:$B,A219))</f>
        <v/>
      </c>
      <c r="BG219" s="2">
        <f>IF(COUNTA(BH219:BK219)=0,"",ROUND(AVERAGE(BH219:BK219),0))</f>
        <v/>
      </c>
      <c r="BH219" s="2">
        <f>IF(BL219="","",IF(BL219&gt;=90,"HOT",IF(BL219&gt;=75,"HIGH",IF(BL219&gt;=50,"MEDIUM","LOW"))))</f>
        <v/>
      </c>
      <c r="BL219" s="2">
        <f>IFERROR(BN219/12,"")</f>
        <v/>
      </c>
      <c r="BP219" s="15" t="n"/>
    </row>
    <row r="220" ht="15.75" customHeight="1" s="19">
      <c r="AD220" s="13" t="n"/>
      <c r="AE220" s="13">
        <f>IF(A220="","",IFERROR(MAXIFS(Activities!$D:$D,Activities!$B:$B,A220),""))</f>
        <v/>
      </c>
      <c r="AF220" s="13">
        <f>IF(A220="","",IFERROR(MINIFS(Follow_Ups!$G:$G,Follow_Ups!$B:$B,A220,Follow_Ups!$H:$H,"&lt;&gt;Completed",Follow_Ups!$G:$G,"&gt;="&amp;TODAY()),""))</f>
        <v/>
      </c>
      <c r="AG220" s="2">
        <f>IF(A220="","",COUNTIF(Activities!$B:$B,A220))</f>
        <v/>
      </c>
      <c r="BG220" s="2">
        <f>IF(COUNTA(BH220:BK220)=0,"",ROUND(AVERAGE(BH220:BK220),0))</f>
        <v/>
      </c>
      <c r="BH220" s="2">
        <f>IF(BL220="","",IF(BL220&gt;=90,"HOT",IF(BL220&gt;=75,"HIGH",IF(BL220&gt;=50,"MEDIUM","LOW"))))</f>
        <v/>
      </c>
      <c r="BL220" s="2">
        <f>IFERROR(BN220/12,"")</f>
        <v/>
      </c>
      <c r="BP220" s="15" t="n"/>
    </row>
    <row r="221" ht="15.75" customHeight="1" s="19">
      <c r="AD221" s="13" t="n"/>
      <c r="AE221" s="13">
        <f>IF(A221="","",IFERROR(MAXIFS(Activities!$D:$D,Activities!$B:$B,A221),""))</f>
        <v/>
      </c>
      <c r="AF221" s="13">
        <f>IF(A221="","",IFERROR(MINIFS(Follow_Ups!$G:$G,Follow_Ups!$B:$B,A221,Follow_Ups!$H:$H,"&lt;&gt;Completed",Follow_Ups!$G:$G,"&gt;="&amp;TODAY()),""))</f>
        <v/>
      </c>
      <c r="AG221" s="2">
        <f>IF(A221="","",COUNTIF(Activities!$B:$B,A221))</f>
        <v/>
      </c>
      <c r="BG221" s="2">
        <f>IF(COUNTA(BH221:BK221)=0,"",ROUND(AVERAGE(BH221:BK221),0))</f>
        <v/>
      </c>
      <c r="BH221" s="2">
        <f>IF(BL221="","",IF(BL221&gt;=90,"HOT",IF(BL221&gt;=75,"HIGH",IF(BL221&gt;=50,"MEDIUM","LOW"))))</f>
        <v/>
      </c>
      <c r="BL221" s="2">
        <f>IFERROR(BN221/12,"")</f>
        <v/>
      </c>
      <c r="BP221" s="15" t="n"/>
    </row>
    <row r="222" ht="15.75" customHeight="1" s="19">
      <c r="AD222" s="13" t="n"/>
      <c r="AE222" s="13">
        <f>IF(A222="","",IFERROR(MAXIFS(Activities!$D:$D,Activities!$B:$B,A222),""))</f>
        <v/>
      </c>
      <c r="AF222" s="13">
        <f>IF(A222="","",IFERROR(MINIFS(Follow_Ups!$G:$G,Follow_Ups!$B:$B,A222,Follow_Ups!$H:$H,"&lt;&gt;Completed",Follow_Ups!$G:$G,"&gt;="&amp;TODAY()),""))</f>
        <v/>
      </c>
      <c r="AG222" s="2">
        <f>IF(A222="","",COUNTIF(Activities!$B:$B,A222))</f>
        <v/>
      </c>
      <c r="BG222" s="2">
        <f>IF(COUNTA(BH222:BK222)=0,"",ROUND(AVERAGE(BH222:BK222),0))</f>
        <v/>
      </c>
      <c r="BH222" s="2">
        <f>IF(BL222="","",IF(BL222&gt;=90,"HOT",IF(BL222&gt;=75,"HIGH",IF(BL222&gt;=50,"MEDIUM","LOW"))))</f>
        <v/>
      </c>
      <c r="BL222" s="2">
        <f>IFERROR(BN222/12,"")</f>
        <v/>
      </c>
      <c r="BP222" s="15" t="n"/>
    </row>
    <row r="223" ht="15.75" customHeight="1" s="19">
      <c r="AD223" s="13" t="n"/>
      <c r="AE223" s="13">
        <f>IF(A223="","",IFERROR(MAXIFS(Activities!$D:$D,Activities!$B:$B,A223),""))</f>
        <v/>
      </c>
      <c r="AF223" s="13">
        <f>IF(A223="","",IFERROR(MINIFS(Follow_Ups!$G:$G,Follow_Ups!$B:$B,A223,Follow_Ups!$H:$H,"&lt;&gt;Completed",Follow_Ups!$G:$G,"&gt;="&amp;TODAY()),""))</f>
        <v/>
      </c>
      <c r="AG223" s="2">
        <f>IF(A223="","",COUNTIF(Activities!$B:$B,A223))</f>
        <v/>
      </c>
      <c r="BG223" s="2">
        <f>IF(COUNTA(BH223:BK223)=0,"",ROUND(AVERAGE(BH223:BK223),0))</f>
        <v/>
      </c>
      <c r="BH223" s="2">
        <f>IF(BL223="","",IF(BL223&gt;=90,"HOT",IF(BL223&gt;=75,"HIGH",IF(BL223&gt;=50,"MEDIUM","LOW"))))</f>
        <v/>
      </c>
      <c r="BL223" s="2">
        <f>IFERROR(BN223/12,"")</f>
        <v/>
      </c>
      <c r="BP223" s="15" t="n"/>
    </row>
    <row r="224" ht="15.75" customHeight="1" s="19">
      <c r="AD224" s="13" t="n"/>
      <c r="AE224" s="13">
        <f>IF(A224="","",IFERROR(MAXIFS(Activities!$D:$D,Activities!$B:$B,A224),""))</f>
        <v/>
      </c>
      <c r="AF224" s="13">
        <f>IF(A224="","",IFERROR(MINIFS(Follow_Ups!$G:$G,Follow_Ups!$B:$B,A224,Follow_Ups!$H:$H,"&lt;&gt;Completed",Follow_Ups!$G:$G,"&gt;="&amp;TODAY()),""))</f>
        <v/>
      </c>
      <c r="AG224" s="2">
        <f>IF(A224="","",COUNTIF(Activities!$B:$B,A224))</f>
        <v/>
      </c>
      <c r="BG224" s="2">
        <f>IF(COUNTA(BH224:BK224)=0,"",ROUND(AVERAGE(BH224:BK224),0))</f>
        <v/>
      </c>
      <c r="BH224" s="2">
        <f>IF(BL224="","",IF(BL224&gt;=90,"HOT",IF(BL224&gt;=75,"HIGH",IF(BL224&gt;=50,"MEDIUM","LOW"))))</f>
        <v/>
      </c>
      <c r="BL224" s="2">
        <f>IFERROR(BN224/12,"")</f>
        <v/>
      </c>
      <c r="BP224" s="15" t="n"/>
    </row>
    <row r="225" ht="15.75" customHeight="1" s="19">
      <c r="AD225" s="13" t="n"/>
      <c r="AE225" s="13">
        <f>IF(A225="","",IFERROR(MAXIFS(Activities!$D:$D,Activities!$B:$B,A225),""))</f>
        <v/>
      </c>
      <c r="AF225" s="13">
        <f>IF(A225="","",IFERROR(MINIFS(Follow_Ups!$G:$G,Follow_Ups!$B:$B,A225,Follow_Ups!$H:$H,"&lt;&gt;Completed",Follow_Ups!$G:$G,"&gt;="&amp;TODAY()),""))</f>
        <v/>
      </c>
      <c r="AG225" s="2">
        <f>IF(A225="","",COUNTIF(Activities!$B:$B,A225))</f>
        <v/>
      </c>
      <c r="BG225" s="2">
        <f>IF(COUNTA(BH225:BK225)=0,"",ROUND(AVERAGE(BH225:BK225),0))</f>
        <v/>
      </c>
      <c r="BH225" s="2">
        <f>IF(BL225="","",IF(BL225&gt;=90,"HOT",IF(BL225&gt;=75,"HIGH",IF(BL225&gt;=50,"MEDIUM","LOW"))))</f>
        <v/>
      </c>
      <c r="BL225" s="2">
        <f>IFERROR(BN225/12,"")</f>
        <v/>
      </c>
      <c r="BP225" s="15" t="n"/>
    </row>
    <row r="226" ht="15.75" customHeight="1" s="19">
      <c r="AD226" s="13" t="n"/>
      <c r="AE226" s="13">
        <f>IF(A226="","",IFERROR(MAXIFS(Activities!$D:$D,Activities!$B:$B,A226),""))</f>
        <v/>
      </c>
      <c r="AF226" s="13">
        <f>IF(A226="","",IFERROR(MINIFS(Follow_Ups!$G:$G,Follow_Ups!$B:$B,A226,Follow_Ups!$H:$H,"&lt;&gt;Completed",Follow_Ups!$G:$G,"&gt;="&amp;TODAY()),""))</f>
        <v/>
      </c>
      <c r="AG226" s="2">
        <f>IF(A226="","",COUNTIF(Activities!$B:$B,A226))</f>
        <v/>
      </c>
      <c r="BG226" s="2">
        <f>IF(COUNTA(BH226:BK226)=0,"",ROUND(AVERAGE(BH226:BK226),0))</f>
        <v/>
      </c>
      <c r="BH226" s="2">
        <f>IF(BL226="","",IF(BL226&gt;=90,"HOT",IF(BL226&gt;=75,"HIGH",IF(BL226&gt;=50,"MEDIUM","LOW"))))</f>
        <v/>
      </c>
      <c r="BL226" s="2">
        <f>IFERROR(BN226/12,"")</f>
        <v/>
      </c>
      <c r="BP226" s="15" t="n"/>
    </row>
    <row r="227" ht="15.75" customHeight="1" s="19">
      <c r="AD227" s="13" t="n"/>
      <c r="AE227" s="13">
        <f>IF(A227="","",IFERROR(MAXIFS(Activities!$D:$D,Activities!$B:$B,A227),""))</f>
        <v/>
      </c>
      <c r="AF227" s="13">
        <f>IF(A227="","",IFERROR(MINIFS(Follow_Ups!$G:$G,Follow_Ups!$B:$B,A227,Follow_Ups!$H:$H,"&lt;&gt;Completed",Follow_Ups!$G:$G,"&gt;="&amp;TODAY()),""))</f>
        <v/>
      </c>
      <c r="AG227" s="2">
        <f>IF(A227="","",COUNTIF(Activities!$B:$B,A227))</f>
        <v/>
      </c>
      <c r="BG227" s="2">
        <f>IF(COUNTA(BH227:BK227)=0,"",ROUND(AVERAGE(BH227:BK227),0))</f>
        <v/>
      </c>
      <c r="BH227" s="2">
        <f>IF(BL227="","",IF(BL227&gt;=90,"HOT",IF(BL227&gt;=75,"HIGH",IF(BL227&gt;=50,"MEDIUM","LOW"))))</f>
        <v/>
      </c>
      <c r="BL227" s="2">
        <f>IFERROR(BN227/12,"")</f>
        <v/>
      </c>
      <c r="BP227" s="15" t="n"/>
    </row>
    <row r="228" ht="15.75" customHeight="1" s="19">
      <c r="AD228" s="13" t="n"/>
      <c r="AE228" s="13">
        <f>IF(A228="","",IFERROR(MAXIFS(Activities!$D:$D,Activities!$B:$B,A228),""))</f>
        <v/>
      </c>
      <c r="AF228" s="13">
        <f>IF(A228="","",IFERROR(MINIFS(Follow_Ups!$G:$G,Follow_Ups!$B:$B,A228,Follow_Ups!$H:$H,"&lt;&gt;Completed",Follow_Ups!$G:$G,"&gt;="&amp;TODAY()),""))</f>
        <v/>
      </c>
      <c r="AG228" s="2">
        <f>IF(A228="","",COUNTIF(Activities!$B:$B,A228))</f>
        <v/>
      </c>
      <c r="BG228" s="2">
        <f>IF(COUNTA(BH228:BK228)=0,"",ROUND(AVERAGE(BH228:BK228),0))</f>
        <v/>
      </c>
      <c r="BH228" s="2">
        <f>IF(BL228="","",IF(BL228&gt;=90,"HOT",IF(BL228&gt;=75,"HIGH",IF(BL228&gt;=50,"MEDIUM","LOW"))))</f>
        <v/>
      </c>
      <c r="BL228" s="2">
        <f>IFERROR(BN228/12,"")</f>
        <v/>
      </c>
      <c r="BP228" s="15" t="n"/>
    </row>
    <row r="229" ht="15.75" customHeight="1" s="19">
      <c r="AD229" s="13" t="n"/>
      <c r="AE229" s="13">
        <f>IF(A229="","",IFERROR(MAXIFS(Activities!$D:$D,Activities!$B:$B,A229),""))</f>
        <v/>
      </c>
      <c r="AF229" s="13">
        <f>IF(A229="","",IFERROR(MINIFS(Follow_Ups!$G:$G,Follow_Ups!$B:$B,A229,Follow_Ups!$H:$H,"&lt;&gt;Completed",Follow_Ups!$G:$G,"&gt;="&amp;TODAY()),""))</f>
        <v/>
      </c>
      <c r="AG229" s="2">
        <f>IF(A229="","",COUNTIF(Activities!$B:$B,A229))</f>
        <v/>
      </c>
      <c r="BG229" s="2">
        <f>IF(COUNTA(BH229:BK229)=0,"",ROUND(AVERAGE(BH229:BK229),0))</f>
        <v/>
      </c>
      <c r="BH229" s="2">
        <f>IF(BL229="","",IF(BL229&gt;=90,"HOT",IF(BL229&gt;=75,"HIGH",IF(BL229&gt;=50,"MEDIUM","LOW"))))</f>
        <v/>
      </c>
      <c r="BL229" s="2">
        <f>IFERROR(BN229/12,"")</f>
        <v/>
      </c>
      <c r="BP229" s="15" t="n"/>
    </row>
    <row r="230" ht="15.75" customHeight="1" s="19">
      <c r="AD230" s="13" t="n"/>
      <c r="AE230" s="13">
        <f>IF(A230="","",IFERROR(MAXIFS(Activities!$D:$D,Activities!$B:$B,A230),""))</f>
        <v/>
      </c>
      <c r="AF230" s="13">
        <f>IF(A230="","",IFERROR(MINIFS(Follow_Ups!$G:$G,Follow_Ups!$B:$B,A230,Follow_Ups!$H:$H,"&lt;&gt;Completed",Follow_Ups!$G:$G,"&gt;="&amp;TODAY()),""))</f>
        <v/>
      </c>
      <c r="AG230" s="2">
        <f>IF(A230="","",COUNTIF(Activities!$B:$B,A230))</f>
        <v/>
      </c>
      <c r="BG230" s="2">
        <f>IF(COUNTA(BH230:BK230)=0,"",ROUND(AVERAGE(BH230:BK230),0))</f>
        <v/>
      </c>
      <c r="BH230" s="2">
        <f>IF(BL230="","",IF(BL230&gt;=90,"HOT",IF(BL230&gt;=75,"HIGH",IF(BL230&gt;=50,"MEDIUM","LOW"))))</f>
        <v/>
      </c>
      <c r="BL230" s="2">
        <f>IFERROR(BN230/12,"")</f>
        <v/>
      </c>
      <c r="BP230" s="15" t="n"/>
    </row>
    <row r="231" ht="15.75" customHeight="1" s="19">
      <c r="AD231" s="13" t="n"/>
      <c r="AE231" s="13">
        <f>IF(A231="","",IFERROR(MAXIFS(Activities!$D:$D,Activities!$B:$B,A231),""))</f>
        <v/>
      </c>
      <c r="AF231" s="13">
        <f>IF(A231="","",IFERROR(MINIFS(Follow_Ups!$G:$G,Follow_Ups!$B:$B,A231,Follow_Ups!$H:$H,"&lt;&gt;Completed",Follow_Ups!$G:$G,"&gt;="&amp;TODAY()),""))</f>
        <v/>
      </c>
      <c r="AG231" s="2">
        <f>IF(A231="","",COUNTIF(Activities!$B:$B,A231))</f>
        <v/>
      </c>
      <c r="BG231" s="2">
        <f>IF(COUNTA(BH231:BK231)=0,"",ROUND(AVERAGE(BH231:BK231),0))</f>
        <v/>
      </c>
      <c r="BH231" s="2">
        <f>IF(BL231="","",IF(BL231&gt;=90,"HOT",IF(BL231&gt;=75,"HIGH",IF(BL231&gt;=50,"MEDIUM","LOW"))))</f>
        <v/>
      </c>
      <c r="BL231" s="2">
        <f>IFERROR(BN231/12,"")</f>
        <v/>
      </c>
      <c r="BP231" s="15" t="n"/>
    </row>
    <row r="232" ht="15.75" customHeight="1" s="19">
      <c r="AD232" s="13" t="n"/>
      <c r="AE232" s="13">
        <f>IF(A232="","",IFERROR(MAXIFS(Activities!$D:$D,Activities!$B:$B,A232),""))</f>
        <v/>
      </c>
      <c r="AF232" s="13">
        <f>IF(A232="","",IFERROR(MINIFS(Follow_Ups!$G:$G,Follow_Ups!$B:$B,A232,Follow_Ups!$H:$H,"&lt;&gt;Completed",Follow_Ups!$G:$G,"&gt;="&amp;TODAY()),""))</f>
        <v/>
      </c>
      <c r="AG232" s="2">
        <f>IF(A232="","",COUNTIF(Activities!$B:$B,A232))</f>
        <v/>
      </c>
      <c r="BG232" s="2">
        <f>IF(COUNTA(BH232:BK232)=0,"",ROUND(AVERAGE(BH232:BK232),0))</f>
        <v/>
      </c>
      <c r="BH232" s="2">
        <f>IF(BL232="","",IF(BL232&gt;=90,"HOT",IF(BL232&gt;=75,"HIGH",IF(BL232&gt;=50,"MEDIUM","LOW"))))</f>
        <v/>
      </c>
      <c r="BL232" s="2">
        <f>IFERROR(BN232/12,"")</f>
        <v/>
      </c>
      <c r="BP232" s="15" t="n"/>
    </row>
    <row r="233" ht="15.75" customHeight="1" s="19">
      <c r="AD233" s="13" t="n"/>
      <c r="AE233" s="13">
        <f>IF(A233="","",IFERROR(MAXIFS(Activities!$D:$D,Activities!$B:$B,A233),""))</f>
        <v/>
      </c>
      <c r="AF233" s="13">
        <f>IF(A233="","",IFERROR(MINIFS(Follow_Ups!$G:$G,Follow_Ups!$B:$B,A233,Follow_Ups!$H:$H,"&lt;&gt;Completed",Follow_Ups!$G:$G,"&gt;="&amp;TODAY()),""))</f>
        <v/>
      </c>
      <c r="AG233" s="2">
        <f>IF(A233="","",COUNTIF(Activities!$B:$B,A233))</f>
        <v/>
      </c>
      <c r="BG233" s="2">
        <f>IF(COUNTA(BH233:BK233)=0,"",ROUND(AVERAGE(BH233:BK233),0))</f>
        <v/>
      </c>
      <c r="BH233" s="2">
        <f>IF(BL233="","",IF(BL233&gt;=90,"HOT",IF(BL233&gt;=75,"HIGH",IF(BL233&gt;=50,"MEDIUM","LOW"))))</f>
        <v/>
      </c>
      <c r="BL233" s="2">
        <f>IFERROR(BN233/12,"")</f>
        <v/>
      </c>
      <c r="BP233" s="15" t="n"/>
    </row>
    <row r="234" ht="15.75" customHeight="1" s="19">
      <c r="AD234" s="13" t="n"/>
      <c r="AE234" s="13">
        <f>IF(A234="","",IFERROR(MAXIFS(Activities!$D:$D,Activities!$B:$B,A234),""))</f>
        <v/>
      </c>
      <c r="AF234" s="13">
        <f>IF(A234="","",IFERROR(MINIFS(Follow_Ups!$G:$G,Follow_Ups!$B:$B,A234,Follow_Ups!$H:$H,"&lt;&gt;Completed",Follow_Ups!$G:$G,"&gt;="&amp;TODAY()),""))</f>
        <v/>
      </c>
      <c r="AG234" s="2">
        <f>IF(A234="","",COUNTIF(Activities!$B:$B,A234))</f>
        <v/>
      </c>
      <c r="BG234" s="2">
        <f>IF(COUNTA(BH234:BK234)=0,"",ROUND(AVERAGE(BH234:BK234),0))</f>
        <v/>
      </c>
      <c r="BH234" s="2">
        <f>IF(BL234="","",IF(BL234&gt;=90,"HOT",IF(BL234&gt;=75,"HIGH",IF(BL234&gt;=50,"MEDIUM","LOW"))))</f>
        <v/>
      </c>
      <c r="BL234" s="2">
        <f>IFERROR(BN234/12,"")</f>
        <v/>
      </c>
      <c r="BP234" s="15" t="n"/>
    </row>
    <row r="235" ht="15.75" customHeight="1" s="19">
      <c r="AD235" s="13" t="n"/>
      <c r="AE235" s="13">
        <f>IF(A235="","",IFERROR(MAXIFS(Activities!$D:$D,Activities!$B:$B,A235),""))</f>
        <v/>
      </c>
      <c r="AF235" s="13">
        <f>IF(A235="","",IFERROR(MINIFS(Follow_Ups!$G:$G,Follow_Ups!$B:$B,A235,Follow_Ups!$H:$H,"&lt;&gt;Completed",Follow_Ups!$G:$G,"&gt;="&amp;TODAY()),""))</f>
        <v/>
      </c>
      <c r="AG235" s="2">
        <f>IF(A235="","",COUNTIF(Activities!$B:$B,A235))</f>
        <v/>
      </c>
      <c r="BG235" s="2">
        <f>IF(COUNTA(BH235:BK235)=0,"",ROUND(AVERAGE(BH235:BK235),0))</f>
        <v/>
      </c>
      <c r="BH235" s="2">
        <f>IF(BL235="","",IF(BL235&gt;=90,"HOT",IF(BL235&gt;=75,"HIGH",IF(BL235&gt;=50,"MEDIUM","LOW"))))</f>
        <v/>
      </c>
      <c r="BL235" s="2">
        <f>IFERROR(BN235/12,"")</f>
        <v/>
      </c>
      <c r="BP235" s="15" t="n"/>
    </row>
    <row r="236" ht="15.75" customHeight="1" s="19">
      <c r="AD236" s="13" t="n"/>
      <c r="AE236" s="13">
        <f>IF(A236="","",IFERROR(MAXIFS(Activities!$D:$D,Activities!$B:$B,A236),""))</f>
        <v/>
      </c>
      <c r="AF236" s="13">
        <f>IF(A236="","",IFERROR(MINIFS(Follow_Ups!$G:$G,Follow_Ups!$B:$B,A236,Follow_Ups!$H:$H,"&lt;&gt;Completed",Follow_Ups!$G:$G,"&gt;="&amp;TODAY()),""))</f>
        <v/>
      </c>
      <c r="AG236" s="2">
        <f>IF(A236="","",COUNTIF(Activities!$B:$B,A236))</f>
        <v/>
      </c>
      <c r="BG236" s="2">
        <f>IF(COUNTA(BH236:BK236)=0,"",ROUND(AVERAGE(BH236:BK236),0))</f>
        <v/>
      </c>
      <c r="BH236" s="2">
        <f>IF(BL236="","",IF(BL236&gt;=90,"HOT",IF(BL236&gt;=75,"HIGH",IF(BL236&gt;=50,"MEDIUM","LOW"))))</f>
        <v/>
      </c>
      <c r="BL236" s="2">
        <f>IFERROR(BN236/12,"")</f>
        <v/>
      </c>
      <c r="BP236" s="15" t="n"/>
    </row>
    <row r="237" ht="15.75" customHeight="1" s="19">
      <c r="AD237" s="13" t="n"/>
      <c r="AE237" s="13">
        <f>IF(A237="","",IFERROR(MAXIFS(Activities!$D:$D,Activities!$B:$B,A237),""))</f>
        <v/>
      </c>
      <c r="AF237" s="13">
        <f>IF(A237="","",IFERROR(MINIFS(Follow_Ups!$G:$G,Follow_Ups!$B:$B,A237,Follow_Ups!$H:$H,"&lt;&gt;Completed",Follow_Ups!$G:$G,"&gt;="&amp;TODAY()),""))</f>
        <v/>
      </c>
      <c r="AG237" s="2">
        <f>IF(A237="","",COUNTIF(Activities!$B:$B,A237))</f>
        <v/>
      </c>
      <c r="BG237" s="2">
        <f>IF(COUNTA(BH237:BK237)=0,"",ROUND(AVERAGE(BH237:BK237),0))</f>
        <v/>
      </c>
      <c r="BH237" s="2">
        <f>IF(BL237="","",IF(BL237&gt;=90,"HOT",IF(BL237&gt;=75,"HIGH",IF(BL237&gt;=50,"MEDIUM","LOW"))))</f>
        <v/>
      </c>
      <c r="BL237" s="2">
        <f>IFERROR(BN237/12,"")</f>
        <v/>
      </c>
      <c r="BP237" s="15" t="n"/>
    </row>
    <row r="238" ht="15.75" customHeight="1" s="19">
      <c r="AD238" s="13" t="n"/>
      <c r="AE238" s="13">
        <f>IF(A238="","",IFERROR(MAXIFS(Activities!$D:$D,Activities!$B:$B,A238),""))</f>
        <v/>
      </c>
      <c r="AF238" s="13">
        <f>IF(A238="","",IFERROR(MINIFS(Follow_Ups!$G:$G,Follow_Ups!$B:$B,A238,Follow_Ups!$H:$H,"&lt;&gt;Completed",Follow_Ups!$G:$G,"&gt;="&amp;TODAY()),""))</f>
        <v/>
      </c>
      <c r="AG238" s="2">
        <f>IF(A238="","",COUNTIF(Activities!$B:$B,A238))</f>
        <v/>
      </c>
      <c r="BG238" s="2">
        <f>IF(COUNTA(BH238:BK238)=0,"",ROUND(AVERAGE(BH238:BK238),0))</f>
        <v/>
      </c>
      <c r="BH238" s="2">
        <f>IF(BL238="","",IF(BL238&gt;=90,"HOT",IF(BL238&gt;=75,"HIGH",IF(BL238&gt;=50,"MEDIUM","LOW"))))</f>
        <v/>
      </c>
      <c r="BL238" s="2">
        <f>IFERROR(BN238/12,"")</f>
        <v/>
      </c>
      <c r="BP238" s="15" t="n"/>
    </row>
    <row r="239" ht="15.75" customHeight="1" s="19">
      <c r="AD239" s="13" t="n"/>
      <c r="AE239" s="13">
        <f>IF(A239="","",IFERROR(MAXIFS(Activities!$D:$D,Activities!$B:$B,A239),""))</f>
        <v/>
      </c>
      <c r="AF239" s="13">
        <f>IF(A239="","",IFERROR(MINIFS(Follow_Ups!$G:$G,Follow_Ups!$B:$B,A239,Follow_Ups!$H:$H,"&lt;&gt;Completed",Follow_Ups!$G:$G,"&gt;="&amp;TODAY()),""))</f>
        <v/>
      </c>
      <c r="AG239" s="2">
        <f>IF(A239="","",COUNTIF(Activities!$B:$B,A239))</f>
        <v/>
      </c>
      <c r="BG239" s="2">
        <f>IF(COUNTA(BH239:BK239)=0,"",ROUND(AVERAGE(BH239:BK239),0))</f>
        <v/>
      </c>
      <c r="BH239" s="2">
        <f>IF(BL239="","",IF(BL239&gt;=90,"HOT",IF(BL239&gt;=75,"HIGH",IF(BL239&gt;=50,"MEDIUM","LOW"))))</f>
        <v/>
      </c>
      <c r="BL239" s="2">
        <f>IFERROR(BN239/12,"")</f>
        <v/>
      </c>
      <c r="BP239" s="15" t="n"/>
    </row>
    <row r="240" ht="15.75" customHeight="1" s="19">
      <c r="AD240" s="13" t="n"/>
      <c r="AE240" s="13">
        <f>IF(A240="","",IFERROR(MAXIFS(Activities!$D:$D,Activities!$B:$B,A240),""))</f>
        <v/>
      </c>
      <c r="AF240" s="13">
        <f>IF(A240="","",IFERROR(MINIFS(Follow_Ups!$G:$G,Follow_Ups!$B:$B,A240,Follow_Ups!$H:$H,"&lt;&gt;Completed",Follow_Ups!$G:$G,"&gt;="&amp;TODAY()),""))</f>
        <v/>
      </c>
      <c r="AG240" s="2">
        <f>IF(A240="","",COUNTIF(Activities!$B:$B,A240))</f>
        <v/>
      </c>
      <c r="BG240" s="2">
        <f>IF(COUNTA(BH240:BK240)=0,"",ROUND(AVERAGE(BH240:BK240),0))</f>
        <v/>
      </c>
      <c r="BH240" s="2">
        <f>IF(BL240="","",IF(BL240&gt;=90,"HOT",IF(BL240&gt;=75,"HIGH",IF(BL240&gt;=50,"MEDIUM","LOW"))))</f>
        <v/>
      </c>
      <c r="BL240" s="2">
        <f>IFERROR(BN240/12,"")</f>
        <v/>
      </c>
      <c r="BP240" s="15" t="n"/>
    </row>
    <row r="241" ht="15.75" customHeight="1" s="19">
      <c r="AD241" s="13" t="n"/>
      <c r="AE241" s="13">
        <f>IF(A241="","",IFERROR(MAXIFS(Activities!$D:$D,Activities!$B:$B,A241),""))</f>
        <v/>
      </c>
      <c r="AF241" s="13">
        <f>IF(A241="","",IFERROR(MINIFS(Follow_Ups!$G:$G,Follow_Ups!$B:$B,A241,Follow_Ups!$H:$H,"&lt;&gt;Completed",Follow_Ups!$G:$G,"&gt;="&amp;TODAY()),""))</f>
        <v/>
      </c>
      <c r="AG241" s="2">
        <f>IF(A241="","",COUNTIF(Activities!$B:$B,A241))</f>
        <v/>
      </c>
      <c r="BG241" s="2">
        <f>IF(COUNTA(BH241:BK241)=0,"",ROUND(AVERAGE(BH241:BK241),0))</f>
        <v/>
      </c>
      <c r="BH241" s="2">
        <f>IF(BL241="","",IF(BL241&gt;=90,"HOT",IF(BL241&gt;=75,"HIGH",IF(BL241&gt;=50,"MEDIUM","LOW"))))</f>
        <v/>
      </c>
      <c r="BL241" s="2">
        <f>IFERROR(BN241/12,"")</f>
        <v/>
      </c>
      <c r="BP241" s="15" t="n"/>
    </row>
    <row r="242" ht="15.75" customHeight="1" s="19">
      <c r="AD242" s="13" t="n"/>
      <c r="AE242" s="13">
        <f>IF(A242="","",IFERROR(MAXIFS(Activities!$D:$D,Activities!$B:$B,A242),""))</f>
        <v/>
      </c>
      <c r="AF242" s="13">
        <f>IF(A242="","",IFERROR(MINIFS(Follow_Ups!$G:$G,Follow_Ups!$B:$B,A242,Follow_Ups!$H:$H,"&lt;&gt;Completed",Follow_Ups!$G:$G,"&gt;="&amp;TODAY()),""))</f>
        <v/>
      </c>
      <c r="AG242" s="2">
        <f>IF(A242="","",COUNTIF(Activities!$B:$B,A242))</f>
        <v/>
      </c>
      <c r="BG242" s="2">
        <f>IF(COUNTA(BH242:BK242)=0,"",ROUND(AVERAGE(BH242:BK242),0))</f>
        <v/>
      </c>
      <c r="BH242" s="2">
        <f>IF(BL242="","",IF(BL242&gt;=90,"HOT",IF(BL242&gt;=75,"HIGH",IF(BL242&gt;=50,"MEDIUM","LOW"))))</f>
        <v/>
      </c>
      <c r="BL242" s="2">
        <f>IFERROR(BN242/12,"")</f>
        <v/>
      </c>
      <c r="BP242" s="15" t="n"/>
    </row>
    <row r="243" ht="15.75" customHeight="1" s="19">
      <c r="AD243" s="13" t="n"/>
      <c r="AE243" s="13">
        <f>IF(A243="","",IFERROR(MAXIFS(Activities!$D:$D,Activities!$B:$B,A243),""))</f>
        <v/>
      </c>
      <c r="AF243" s="13">
        <f>IF(A243="","",IFERROR(MINIFS(Follow_Ups!$G:$G,Follow_Ups!$B:$B,A243,Follow_Ups!$H:$H,"&lt;&gt;Completed",Follow_Ups!$G:$G,"&gt;="&amp;TODAY()),""))</f>
        <v/>
      </c>
      <c r="AG243" s="2">
        <f>IF(A243="","",COUNTIF(Activities!$B:$B,A243))</f>
        <v/>
      </c>
      <c r="BG243" s="2">
        <f>IF(COUNTA(BH243:BK243)=0,"",ROUND(AVERAGE(BH243:BK243),0))</f>
        <v/>
      </c>
      <c r="BH243" s="2">
        <f>IF(BL243="","",IF(BL243&gt;=90,"HOT",IF(BL243&gt;=75,"HIGH",IF(BL243&gt;=50,"MEDIUM","LOW"))))</f>
        <v/>
      </c>
      <c r="BL243" s="2">
        <f>IFERROR(BN243/12,"")</f>
        <v/>
      </c>
      <c r="BP243" s="15" t="n"/>
    </row>
    <row r="244" ht="15.75" customHeight="1" s="19">
      <c r="AD244" s="13" t="n"/>
      <c r="AE244" s="13">
        <f>IF(A244="","",IFERROR(MAXIFS(Activities!$D:$D,Activities!$B:$B,A244),""))</f>
        <v/>
      </c>
      <c r="AF244" s="13">
        <f>IF(A244="","",IFERROR(MINIFS(Follow_Ups!$G:$G,Follow_Ups!$B:$B,A244,Follow_Ups!$H:$H,"&lt;&gt;Completed",Follow_Ups!$G:$G,"&gt;="&amp;TODAY()),""))</f>
        <v/>
      </c>
      <c r="AG244" s="2">
        <f>IF(A244="","",COUNTIF(Activities!$B:$B,A244))</f>
        <v/>
      </c>
      <c r="BG244" s="2">
        <f>IF(COUNTA(BH244:BK244)=0,"",ROUND(AVERAGE(BH244:BK244),0))</f>
        <v/>
      </c>
      <c r="BH244" s="2">
        <f>IF(BL244="","",IF(BL244&gt;=90,"HOT",IF(BL244&gt;=75,"HIGH",IF(BL244&gt;=50,"MEDIUM","LOW"))))</f>
        <v/>
      </c>
      <c r="BL244" s="2">
        <f>IFERROR(BN244/12,"")</f>
        <v/>
      </c>
      <c r="BP244" s="15" t="n"/>
    </row>
    <row r="245" ht="15.75" customHeight="1" s="19">
      <c r="AD245" s="13" t="n"/>
      <c r="AE245" s="13">
        <f>IF(A245="","",IFERROR(MAXIFS(Activities!$D:$D,Activities!$B:$B,A245),""))</f>
        <v/>
      </c>
      <c r="AF245" s="13">
        <f>IF(A245="","",IFERROR(MINIFS(Follow_Ups!$G:$G,Follow_Ups!$B:$B,A245,Follow_Ups!$H:$H,"&lt;&gt;Completed",Follow_Ups!$G:$G,"&gt;="&amp;TODAY()),""))</f>
        <v/>
      </c>
      <c r="AG245" s="2">
        <f>IF(A245="","",COUNTIF(Activities!$B:$B,A245))</f>
        <v/>
      </c>
      <c r="BG245" s="2">
        <f>IF(COUNTA(BH245:BK245)=0,"",ROUND(AVERAGE(BH245:BK245),0))</f>
        <v/>
      </c>
      <c r="BH245" s="2">
        <f>IF(BL245="","",IF(BL245&gt;=90,"HOT",IF(BL245&gt;=75,"HIGH",IF(BL245&gt;=50,"MEDIUM","LOW"))))</f>
        <v/>
      </c>
      <c r="BL245" s="2">
        <f>IFERROR(BN245/12,"")</f>
        <v/>
      </c>
      <c r="BP245" s="15" t="n"/>
    </row>
    <row r="246" ht="15.75" customHeight="1" s="19">
      <c r="AD246" s="13" t="n"/>
      <c r="AE246" s="13">
        <f>IF(A246="","",IFERROR(MAXIFS(Activities!$D:$D,Activities!$B:$B,A246),""))</f>
        <v/>
      </c>
      <c r="AF246" s="13">
        <f>IF(A246="","",IFERROR(MINIFS(Follow_Ups!$G:$G,Follow_Ups!$B:$B,A246,Follow_Ups!$H:$H,"&lt;&gt;Completed",Follow_Ups!$G:$G,"&gt;="&amp;TODAY()),""))</f>
        <v/>
      </c>
      <c r="AG246" s="2">
        <f>IF(A246="","",COUNTIF(Activities!$B:$B,A246))</f>
        <v/>
      </c>
      <c r="BG246" s="2">
        <f>IF(COUNTA(BH246:BK246)=0,"",ROUND(AVERAGE(BH246:BK246),0))</f>
        <v/>
      </c>
      <c r="BH246" s="2">
        <f>IF(BL246="","",IF(BL246&gt;=90,"HOT",IF(BL246&gt;=75,"HIGH",IF(BL246&gt;=50,"MEDIUM","LOW"))))</f>
        <v/>
      </c>
      <c r="BL246" s="2">
        <f>IFERROR(BN246/12,"")</f>
        <v/>
      </c>
      <c r="BP246" s="15" t="n"/>
    </row>
    <row r="247" ht="15.75" customHeight="1" s="19">
      <c r="AD247" s="13" t="n"/>
      <c r="AE247" s="13">
        <f>IF(A247="","",IFERROR(MAXIFS(Activities!$D:$D,Activities!$B:$B,A247),""))</f>
        <v/>
      </c>
      <c r="AF247" s="13">
        <f>IF(A247="","",IFERROR(MINIFS(Follow_Ups!$G:$G,Follow_Ups!$B:$B,A247,Follow_Ups!$H:$H,"&lt;&gt;Completed",Follow_Ups!$G:$G,"&gt;="&amp;TODAY()),""))</f>
        <v/>
      </c>
      <c r="AG247" s="2">
        <f>IF(A247="","",COUNTIF(Activities!$B:$B,A247))</f>
        <v/>
      </c>
      <c r="BG247" s="2">
        <f>IF(COUNTA(BH247:BK247)=0,"",ROUND(AVERAGE(BH247:BK247),0))</f>
        <v/>
      </c>
      <c r="BH247" s="2">
        <f>IF(BL247="","",IF(BL247&gt;=90,"HOT",IF(BL247&gt;=75,"HIGH",IF(BL247&gt;=50,"MEDIUM","LOW"))))</f>
        <v/>
      </c>
      <c r="BL247" s="2">
        <f>IFERROR(BN247/12,"")</f>
        <v/>
      </c>
      <c r="BP247" s="15" t="n"/>
    </row>
    <row r="248" ht="15.75" customHeight="1" s="19">
      <c r="AD248" s="13" t="n"/>
      <c r="AE248" s="13">
        <f>IF(A248="","",IFERROR(MAXIFS(Activities!$D:$D,Activities!$B:$B,A248),""))</f>
        <v/>
      </c>
      <c r="AF248" s="13">
        <f>IF(A248="","",IFERROR(MINIFS(Follow_Ups!$G:$G,Follow_Ups!$B:$B,A248,Follow_Ups!$H:$H,"&lt;&gt;Completed",Follow_Ups!$G:$G,"&gt;="&amp;TODAY()),""))</f>
        <v/>
      </c>
      <c r="AG248" s="2">
        <f>IF(A248="","",COUNTIF(Activities!$B:$B,A248))</f>
        <v/>
      </c>
      <c r="BG248" s="2">
        <f>IF(COUNTA(BH248:BK248)=0,"",ROUND(AVERAGE(BH248:BK248),0))</f>
        <v/>
      </c>
      <c r="BH248" s="2">
        <f>IF(BL248="","",IF(BL248&gt;=90,"HOT",IF(BL248&gt;=75,"HIGH",IF(BL248&gt;=50,"MEDIUM","LOW"))))</f>
        <v/>
      </c>
      <c r="BL248" s="2">
        <f>IFERROR(BN248/12,"")</f>
        <v/>
      </c>
      <c r="BP248" s="15" t="n"/>
    </row>
    <row r="249" ht="15.75" customHeight="1" s="19">
      <c r="AD249" s="13" t="n"/>
      <c r="AE249" s="13">
        <f>IF(A249="","",IFERROR(MAXIFS(Activities!$D:$D,Activities!$B:$B,A249),""))</f>
        <v/>
      </c>
      <c r="AF249" s="13">
        <f>IF(A249="","",IFERROR(MINIFS(Follow_Ups!$G:$G,Follow_Ups!$B:$B,A249,Follow_Ups!$H:$H,"&lt;&gt;Completed",Follow_Ups!$G:$G,"&gt;="&amp;TODAY()),""))</f>
        <v/>
      </c>
      <c r="AG249" s="2">
        <f>IF(A249="","",COUNTIF(Activities!$B:$B,A249))</f>
        <v/>
      </c>
      <c r="BG249" s="2">
        <f>IF(COUNTA(BH249:BK249)=0,"",ROUND(AVERAGE(BH249:BK249),0))</f>
        <v/>
      </c>
      <c r="BH249" s="2">
        <f>IF(BL249="","",IF(BL249&gt;=90,"HOT",IF(BL249&gt;=75,"HIGH",IF(BL249&gt;=50,"MEDIUM","LOW"))))</f>
        <v/>
      </c>
      <c r="BL249" s="2">
        <f>IFERROR(BN249/12,"")</f>
        <v/>
      </c>
      <c r="BP249" s="15" t="n"/>
    </row>
    <row r="250" ht="15.75" customHeight="1" s="19">
      <c r="AD250" s="13" t="n"/>
      <c r="AE250" s="13">
        <f>IF(A250="","",IFERROR(MAXIFS(Activities!$D:$D,Activities!$B:$B,A250),""))</f>
        <v/>
      </c>
      <c r="AF250" s="13">
        <f>IF(A250="","",IFERROR(MINIFS(Follow_Ups!$G:$G,Follow_Ups!$B:$B,A250,Follow_Ups!$H:$H,"&lt;&gt;Completed",Follow_Ups!$G:$G,"&gt;="&amp;TODAY()),""))</f>
        <v/>
      </c>
      <c r="AG250" s="2">
        <f>IF(A250="","",COUNTIF(Activities!$B:$B,A250))</f>
        <v/>
      </c>
      <c r="BG250" s="2">
        <f>IF(COUNTA(BH250:BK250)=0,"",ROUND(AVERAGE(BH250:BK250),0))</f>
        <v/>
      </c>
      <c r="BH250" s="2">
        <f>IF(BL250="","",IF(BL250&gt;=90,"HOT",IF(BL250&gt;=75,"HIGH",IF(BL250&gt;=50,"MEDIUM","LOW"))))</f>
        <v/>
      </c>
      <c r="BL250" s="2">
        <f>IFERROR(BN250/12,"")</f>
        <v/>
      </c>
      <c r="BP250" s="15" t="n"/>
    </row>
    <row r="251" ht="15.75" customHeight="1" s="19">
      <c r="AD251" s="13" t="n"/>
      <c r="AE251" s="13">
        <f>IF(A251="","",IFERROR(MAXIFS(Activities!$D:$D,Activities!$B:$B,A251),""))</f>
        <v/>
      </c>
      <c r="AF251" s="13">
        <f>IF(A251="","",IFERROR(MINIFS(Follow_Ups!$G:$G,Follow_Ups!$B:$B,A251,Follow_Ups!$H:$H,"&lt;&gt;Completed",Follow_Ups!$G:$G,"&gt;="&amp;TODAY()),""))</f>
        <v/>
      </c>
      <c r="AG251" s="2">
        <f>IF(A251="","",COUNTIF(Activities!$B:$B,A251))</f>
        <v/>
      </c>
      <c r="BG251" s="2">
        <f>IF(COUNTA(BH251:BK251)=0,"",ROUND(AVERAGE(BH251:BK251),0))</f>
        <v/>
      </c>
      <c r="BH251" s="2">
        <f>IF(BL251="","",IF(BL251&gt;=90,"HOT",IF(BL251&gt;=75,"HIGH",IF(BL251&gt;=50,"MEDIUM","LOW"))))</f>
        <v/>
      </c>
      <c r="BL251" s="2">
        <f>IFERROR(BN251/12,"")</f>
        <v/>
      </c>
      <c r="BP251" s="15" t="n"/>
    </row>
    <row r="252" ht="15.75" customHeight="1" s="19">
      <c r="AD252" s="13" t="n"/>
      <c r="AE252" s="13">
        <f>IF(A252="","",IFERROR(MAXIFS(Activities!$D:$D,Activities!$B:$B,A252),""))</f>
        <v/>
      </c>
      <c r="AF252" s="13">
        <f>IF(A252="","",IFERROR(MINIFS(Follow_Ups!$G:$G,Follow_Ups!$B:$B,A252,Follow_Ups!$H:$H,"&lt;&gt;Completed",Follow_Ups!$G:$G,"&gt;="&amp;TODAY()),""))</f>
        <v/>
      </c>
      <c r="AG252" s="2">
        <f>IF(A252="","",COUNTIF(Activities!$B:$B,A252))</f>
        <v/>
      </c>
      <c r="BG252" s="2">
        <f>IF(COUNTA(BH252:BK252)=0,"",ROUND(AVERAGE(BH252:BK252),0))</f>
        <v/>
      </c>
      <c r="BH252" s="2">
        <f>IF(BL252="","",IF(BL252&gt;=90,"HOT",IF(BL252&gt;=75,"HIGH",IF(BL252&gt;=50,"MEDIUM","LOW"))))</f>
        <v/>
      </c>
      <c r="BL252" s="2">
        <f>IFERROR(BN252/12,"")</f>
        <v/>
      </c>
      <c r="BP252" s="15" t="n"/>
    </row>
    <row r="253" ht="15.75" customHeight="1" s="19">
      <c r="AD253" s="13" t="n"/>
      <c r="AE253" s="13">
        <f>IF(A253="","",IFERROR(MAXIFS(Activities!$D:$D,Activities!$B:$B,A253),""))</f>
        <v/>
      </c>
      <c r="AF253" s="13">
        <f>IF(A253="","",IFERROR(MINIFS(Follow_Ups!$G:$G,Follow_Ups!$B:$B,A253,Follow_Ups!$H:$H,"&lt;&gt;Completed",Follow_Ups!$G:$G,"&gt;="&amp;TODAY()),""))</f>
        <v/>
      </c>
      <c r="AG253" s="2">
        <f>IF(A253="","",COUNTIF(Activities!$B:$B,A253))</f>
        <v/>
      </c>
      <c r="BG253" s="2">
        <f>IF(COUNTA(BH253:BK253)=0,"",ROUND(AVERAGE(BH253:BK253),0))</f>
        <v/>
      </c>
      <c r="BH253" s="2">
        <f>IF(BL253="","",IF(BL253&gt;=90,"HOT",IF(BL253&gt;=75,"HIGH",IF(BL253&gt;=50,"MEDIUM","LOW"))))</f>
        <v/>
      </c>
      <c r="BL253" s="2">
        <f>IFERROR(BN253/12,"")</f>
        <v/>
      </c>
      <c r="BP253" s="15" t="n"/>
    </row>
    <row r="254" ht="15.75" customHeight="1" s="19">
      <c r="AD254" s="13" t="n"/>
      <c r="AE254" s="13">
        <f>IF(A254="","",IFERROR(MAXIFS(Activities!$D:$D,Activities!$B:$B,A254),""))</f>
        <v/>
      </c>
      <c r="AF254" s="13">
        <f>IF(A254="","",IFERROR(MINIFS(Follow_Ups!$G:$G,Follow_Ups!$B:$B,A254,Follow_Ups!$H:$H,"&lt;&gt;Completed",Follow_Ups!$G:$G,"&gt;="&amp;TODAY()),""))</f>
        <v/>
      </c>
      <c r="AG254" s="2">
        <f>IF(A254="","",COUNTIF(Activities!$B:$B,A254))</f>
        <v/>
      </c>
      <c r="BG254" s="2">
        <f>IF(COUNTA(BH254:BK254)=0,"",ROUND(AVERAGE(BH254:BK254),0))</f>
        <v/>
      </c>
      <c r="BH254" s="2">
        <f>IF(BL254="","",IF(BL254&gt;=90,"HOT",IF(BL254&gt;=75,"HIGH",IF(BL254&gt;=50,"MEDIUM","LOW"))))</f>
        <v/>
      </c>
      <c r="BL254" s="2">
        <f>IFERROR(BN254/12,"")</f>
        <v/>
      </c>
      <c r="BP254" s="15" t="n"/>
    </row>
    <row r="255" ht="15.75" customHeight="1" s="19">
      <c r="AD255" s="13" t="n"/>
      <c r="AE255" s="13">
        <f>IF(A255="","",IFERROR(MAXIFS(Activities!$D:$D,Activities!$B:$B,A255),""))</f>
        <v/>
      </c>
      <c r="AF255" s="13">
        <f>IF(A255="","",IFERROR(MINIFS(Follow_Ups!$G:$G,Follow_Ups!$B:$B,A255,Follow_Ups!$H:$H,"&lt;&gt;Completed",Follow_Ups!$G:$G,"&gt;="&amp;TODAY()),""))</f>
        <v/>
      </c>
      <c r="AG255" s="2">
        <f>IF(A255="","",COUNTIF(Activities!$B:$B,A255))</f>
        <v/>
      </c>
      <c r="BG255" s="2">
        <f>IF(COUNTA(BH255:BK255)=0,"",ROUND(AVERAGE(BH255:BK255),0))</f>
        <v/>
      </c>
      <c r="BH255" s="2">
        <f>IF(BL255="","",IF(BL255&gt;=90,"HOT",IF(BL255&gt;=75,"HIGH",IF(BL255&gt;=50,"MEDIUM","LOW"))))</f>
        <v/>
      </c>
      <c r="BL255" s="2">
        <f>IFERROR(BN255/12,"")</f>
        <v/>
      </c>
      <c r="BP255" s="15" t="n"/>
    </row>
    <row r="256" ht="15.75" customHeight="1" s="19">
      <c r="AD256" s="13" t="n"/>
      <c r="AE256" s="13">
        <f>IF(A256="","",IFERROR(MAXIFS(Activities!$D:$D,Activities!$B:$B,A256),""))</f>
        <v/>
      </c>
      <c r="AF256" s="13">
        <f>IF(A256="","",IFERROR(MINIFS(Follow_Ups!$G:$G,Follow_Ups!$B:$B,A256,Follow_Ups!$H:$H,"&lt;&gt;Completed",Follow_Ups!$G:$G,"&gt;="&amp;TODAY()),""))</f>
        <v/>
      </c>
      <c r="AG256" s="2">
        <f>IF(A256="","",COUNTIF(Activities!$B:$B,A256))</f>
        <v/>
      </c>
      <c r="BG256" s="2">
        <f>IF(COUNTA(BH256:BK256)=0,"",ROUND(AVERAGE(BH256:BK256),0))</f>
        <v/>
      </c>
      <c r="BH256" s="2">
        <f>IF(BL256="","",IF(BL256&gt;=90,"HOT",IF(BL256&gt;=75,"HIGH",IF(BL256&gt;=50,"MEDIUM","LOW"))))</f>
        <v/>
      </c>
      <c r="BL256" s="2">
        <f>IFERROR(BN256/12,"")</f>
        <v/>
      </c>
      <c r="BP256" s="15" t="n"/>
    </row>
    <row r="257" ht="15.75" customHeight="1" s="19">
      <c r="AD257" s="13" t="n"/>
      <c r="AE257" s="13">
        <f>IF(A257="","",IFERROR(MAXIFS(Activities!$D:$D,Activities!$B:$B,A257),""))</f>
        <v/>
      </c>
      <c r="AF257" s="13">
        <f>IF(A257="","",IFERROR(MINIFS(Follow_Ups!$G:$G,Follow_Ups!$B:$B,A257,Follow_Ups!$H:$H,"&lt;&gt;Completed",Follow_Ups!$G:$G,"&gt;="&amp;TODAY()),""))</f>
        <v/>
      </c>
      <c r="AG257" s="2">
        <f>IF(A257="","",COUNTIF(Activities!$B:$B,A257))</f>
        <v/>
      </c>
      <c r="BG257" s="2">
        <f>IF(COUNTA(BH257:BK257)=0,"",ROUND(AVERAGE(BH257:BK257),0))</f>
        <v/>
      </c>
      <c r="BH257" s="2">
        <f>IF(BL257="","",IF(BL257&gt;=90,"HOT",IF(BL257&gt;=75,"HIGH",IF(BL257&gt;=50,"MEDIUM","LOW"))))</f>
        <v/>
      </c>
      <c r="BL257" s="2">
        <f>IFERROR(BN257/12,"")</f>
        <v/>
      </c>
      <c r="BP257" s="15" t="n"/>
    </row>
    <row r="258" ht="15.75" customHeight="1" s="19">
      <c r="AD258" s="13" t="n"/>
      <c r="AE258" s="13">
        <f>IF(A258="","",IFERROR(MAXIFS(Activities!$D:$D,Activities!$B:$B,A258),""))</f>
        <v/>
      </c>
      <c r="AF258" s="13">
        <f>IF(A258="","",IFERROR(MINIFS(Follow_Ups!$G:$G,Follow_Ups!$B:$B,A258,Follow_Ups!$H:$H,"&lt;&gt;Completed",Follow_Ups!$G:$G,"&gt;="&amp;TODAY()),""))</f>
        <v/>
      </c>
      <c r="AG258" s="2">
        <f>IF(A258="","",COUNTIF(Activities!$B:$B,A258))</f>
        <v/>
      </c>
      <c r="BG258" s="2">
        <f>IF(COUNTA(BH258:BK258)=0,"",ROUND(AVERAGE(BH258:BK258),0))</f>
        <v/>
      </c>
      <c r="BH258" s="2">
        <f>IF(BL258="","",IF(BL258&gt;=90,"HOT",IF(BL258&gt;=75,"HIGH",IF(BL258&gt;=50,"MEDIUM","LOW"))))</f>
        <v/>
      </c>
      <c r="BL258" s="2">
        <f>IFERROR(BN258/12,"")</f>
        <v/>
      </c>
      <c r="BP258" s="15" t="n"/>
    </row>
    <row r="259" ht="15.75" customHeight="1" s="19">
      <c r="AD259" s="13" t="n"/>
      <c r="AE259" s="13">
        <f>IF(A259="","",IFERROR(MAXIFS(Activities!$D:$D,Activities!$B:$B,A259),""))</f>
        <v/>
      </c>
      <c r="AF259" s="13">
        <f>IF(A259="","",IFERROR(MINIFS(Follow_Ups!$G:$G,Follow_Ups!$B:$B,A259,Follow_Ups!$H:$H,"&lt;&gt;Completed",Follow_Ups!$G:$G,"&gt;="&amp;TODAY()),""))</f>
        <v/>
      </c>
      <c r="AG259" s="2">
        <f>IF(A259="","",COUNTIF(Activities!$B:$B,A259))</f>
        <v/>
      </c>
      <c r="BG259" s="2">
        <f>IF(COUNTA(BH259:BK259)=0,"",ROUND(AVERAGE(BH259:BK259),0))</f>
        <v/>
      </c>
      <c r="BH259" s="2">
        <f>IF(BL259="","",IF(BL259&gt;=90,"HOT",IF(BL259&gt;=75,"HIGH",IF(BL259&gt;=50,"MEDIUM","LOW"))))</f>
        <v/>
      </c>
      <c r="BL259" s="2">
        <f>IFERROR(BN259/12,"")</f>
        <v/>
      </c>
      <c r="BP259" s="15" t="n"/>
    </row>
    <row r="260" ht="15.75" customHeight="1" s="19">
      <c r="AD260" s="13" t="n"/>
      <c r="AE260" s="13">
        <f>IF(A260="","",IFERROR(MAXIFS(Activities!$D:$D,Activities!$B:$B,A260),""))</f>
        <v/>
      </c>
      <c r="AF260" s="13">
        <f>IF(A260="","",IFERROR(MINIFS(Follow_Ups!$G:$G,Follow_Ups!$B:$B,A260,Follow_Ups!$H:$H,"&lt;&gt;Completed",Follow_Ups!$G:$G,"&gt;="&amp;TODAY()),""))</f>
        <v/>
      </c>
      <c r="AG260" s="2">
        <f>IF(A260="","",COUNTIF(Activities!$B:$B,A260))</f>
        <v/>
      </c>
      <c r="BG260" s="2">
        <f>IF(COUNTA(BH260:BK260)=0,"",ROUND(AVERAGE(BH260:BK260),0))</f>
        <v/>
      </c>
      <c r="BH260" s="2">
        <f>IF(BL260="","",IF(BL260&gt;=90,"HOT",IF(BL260&gt;=75,"HIGH",IF(BL260&gt;=50,"MEDIUM","LOW"))))</f>
        <v/>
      </c>
      <c r="BL260" s="2">
        <f>IFERROR(BN260/12,"")</f>
        <v/>
      </c>
      <c r="BP260" s="15" t="n"/>
    </row>
    <row r="261" ht="15.75" customHeight="1" s="19">
      <c r="AD261" s="13" t="n"/>
      <c r="AE261" s="13">
        <f>IF(A261="","",IFERROR(MAXIFS(Activities!$D:$D,Activities!$B:$B,A261),""))</f>
        <v/>
      </c>
      <c r="AF261" s="13">
        <f>IF(A261="","",IFERROR(MINIFS(Follow_Ups!$G:$G,Follow_Ups!$B:$B,A261,Follow_Ups!$H:$H,"&lt;&gt;Completed",Follow_Ups!$G:$G,"&gt;="&amp;TODAY()),""))</f>
        <v/>
      </c>
      <c r="AG261" s="2">
        <f>IF(A261="","",COUNTIF(Activities!$B:$B,A261))</f>
        <v/>
      </c>
      <c r="BG261" s="2">
        <f>IF(COUNTA(BH261:BK261)=0,"",ROUND(AVERAGE(BH261:BK261),0))</f>
        <v/>
      </c>
      <c r="BH261" s="2">
        <f>IF(BL261="","",IF(BL261&gt;=90,"HOT",IF(BL261&gt;=75,"HIGH",IF(BL261&gt;=50,"MEDIUM","LOW"))))</f>
        <v/>
      </c>
      <c r="BL261" s="2">
        <f>IFERROR(BN261/12,"")</f>
        <v/>
      </c>
      <c r="BP261" s="15" t="n"/>
    </row>
    <row r="262" ht="15.75" customHeight="1" s="19">
      <c r="AD262" s="13" t="n"/>
      <c r="AE262" s="13">
        <f>IF(A262="","",IFERROR(MAXIFS(Activities!$D:$D,Activities!$B:$B,A262),""))</f>
        <v/>
      </c>
      <c r="AF262" s="13">
        <f>IF(A262="","",IFERROR(MINIFS(Follow_Ups!$G:$G,Follow_Ups!$B:$B,A262,Follow_Ups!$H:$H,"&lt;&gt;Completed",Follow_Ups!$G:$G,"&gt;="&amp;TODAY()),""))</f>
        <v/>
      </c>
      <c r="AG262" s="2">
        <f>IF(A262="","",COUNTIF(Activities!$B:$B,A262))</f>
        <v/>
      </c>
      <c r="BG262" s="2">
        <f>IF(COUNTA(BH262:BK262)=0,"",ROUND(AVERAGE(BH262:BK262),0))</f>
        <v/>
      </c>
      <c r="BH262" s="2">
        <f>IF(BL262="","",IF(BL262&gt;=90,"HOT",IF(BL262&gt;=75,"HIGH",IF(BL262&gt;=50,"MEDIUM","LOW"))))</f>
        <v/>
      </c>
      <c r="BL262" s="2">
        <f>IFERROR(BN262/12,"")</f>
        <v/>
      </c>
      <c r="BP262" s="15" t="n"/>
    </row>
    <row r="263" ht="15.75" customHeight="1" s="19">
      <c r="AD263" s="13" t="n"/>
      <c r="AE263" s="13">
        <f>IF(A263="","",IFERROR(MAXIFS(Activities!$D:$D,Activities!$B:$B,A263),""))</f>
        <v/>
      </c>
      <c r="AF263" s="13">
        <f>IF(A263="","",IFERROR(MINIFS(Follow_Ups!$G:$G,Follow_Ups!$B:$B,A263,Follow_Ups!$H:$H,"&lt;&gt;Completed",Follow_Ups!$G:$G,"&gt;="&amp;TODAY()),""))</f>
        <v/>
      </c>
      <c r="AG263" s="2">
        <f>IF(A263="","",COUNTIF(Activities!$B:$B,A263))</f>
        <v/>
      </c>
      <c r="BG263" s="2">
        <f>IF(COUNTA(BH263:BK263)=0,"",ROUND(AVERAGE(BH263:BK263),0))</f>
        <v/>
      </c>
      <c r="BH263" s="2">
        <f>IF(BL263="","",IF(BL263&gt;=90,"HOT",IF(BL263&gt;=75,"HIGH",IF(BL263&gt;=50,"MEDIUM","LOW"))))</f>
        <v/>
      </c>
      <c r="BL263" s="2">
        <f>IFERROR(BN263/12,"")</f>
        <v/>
      </c>
      <c r="BP263" s="15" t="n"/>
    </row>
    <row r="264" ht="15.75" customHeight="1" s="19">
      <c r="AD264" s="13" t="n"/>
      <c r="AE264" s="13">
        <f>IF(A264="","",IFERROR(MAXIFS(Activities!$D:$D,Activities!$B:$B,A264),""))</f>
        <v/>
      </c>
      <c r="AF264" s="13">
        <f>IF(A264="","",IFERROR(MINIFS(Follow_Ups!$G:$G,Follow_Ups!$B:$B,A264,Follow_Ups!$H:$H,"&lt;&gt;Completed",Follow_Ups!$G:$G,"&gt;="&amp;TODAY()),""))</f>
        <v/>
      </c>
      <c r="AG264" s="2">
        <f>IF(A264="","",COUNTIF(Activities!$B:$B,A264))</f>
        <v/>
      </c>
      <c r="BG264" s="2">
        <f>IF(COUNTA(BH264:BK264)=0,"",ROUND(AVERAGE(BH264:BK264),0))</f>
        <v/>
      </c>
      <c r="BH264" s="2">
        <f>IF(BL264="","",IF(BL264&gt;=90,"HOT",IF(BL264&gt;=75,"HIGH",IF(BL264&gt;=50,"MEDIUM","LOW"))))</f>
        <v/>
      </c>
      <c r="BL264" s="2">
        <f>IFERROR(BN264/12,"")</f>
        <v/>
      </c>
      <c r="BP264" s="15" t="n"/>
    </row>
    <row r="265" ht="15.75" customHeight="1" s="19">
      <c r="AD265" s="13" t="n"/>
      <c r="AE265" s="13">
        <f>IF(A265="","",IFERROR(MAXIFS(Activities!$D:$D,Activities!$B:$B,A265),""))</f>
        <v/>
      </c>
      <c r="AF265" s="13">
        <f>IF(A265="","",IFERROR(MINIFS(Follow_Ups!$G:$G,Follow_Ups!$B:$B,A265,Follow_Ups!$H:$H,"&lt;&gt;Completed",Follow_Ups!$G:$G,"&gt;="&amp;TODAY()),""))</f>
        <v/>
      </c>
      <c r="AG265" s="2">
        <f>IF(A265="","",COUNTIF(Activities!$B:$B,A265))</f>
        <v/>
      </c>
      <c r="BG265" s="2">
        <f>IF(COUNTA(BH265:BK265)=0,"",ROUND(AVERAGE(BH265:BK265),0))</f>
        <v/>
      </c>
      <c r="BH265" s="2">
        <f>IF(BL265="","",IF(BL265&gt;=90,"HOT",IF(BL265&gt;=75,"HIGH",IF(BL265&gt;=50,"MEDIUM","LOW"))))</f>
        <v/>
      </c>
      <c r="BL265" s="2">
        <f>IFERROR(BN265/12,"")</f>
        <v/>
      </c>
      <c r="BP265" s="15" t="n"/>
    </row>
    <row r="266" ht="15.75" customHeight="1" s="19">
      <c r="AD266" s="13" t="n"/>
      <c r="AE266" s="13">
        <f>IF(A266="","",IFERROR(MAXIFS(Activities!$D:$D,Activities!$B:$B,A266),""))</f>
        <v/>
      </c>
      <c r="AF266" s="13">
        <f>IF(A266="","",IFERROR(MINIFS(Follow_Ups!$G:$G,Follow_Ups!$B:$B,A266,Follow_Ups!$H:$H,"&lt;&gt;Completed",Follow_Ups!$G:$G,"&gt;="&amp;TODAY()),""))</f>
        <v/>
      </c>
      <c r="AG266" s="2">
        <f>IF(A266="","",COUNTIF(Activities!$B:$B,A266))</f>
        <v/>
      </c>
      <c r="BG266" s="2">
        <f>IF(COUNTA(BH266:BK266)=0,"",ROUND(AVERAGE(BH266:BK266),0))</f>
        <v/>
      </c>
      <c r="BH266" s="2">
        <f>IF(BL266="","",IF(BL266&gt;=90,"HOT",IF(BL266&gt;=75,"HIGH",IF(BL266&gt;=50,"MEDIUM","LOW"))))</f>
        <v/>
      </c>
      <c r="BL266" s="2">
        <f>IFERROR(BN266/12,"")</f>
        <v/>
      </c>
      <c r="BP266" s="15" t="n"/>
    </row>
    <row r="267" ht="15.75" customHeight="1" s="19">
      <c r="AD267" s="13" t="n"/>
      <c r="AE267" s="13">
        <f>IF(A267="","",IFERROR(MAXIFS(Activities!$D:$D,Activities!$B:$B,A267),""))</f>
        <v/>
      </c>
      <c r="AF267" s="13">
        <f>IF(A267="","",IFERROR(MINIFS(Follow_Ups!$G:$G,Follow_Ups!$B:$B,A267,Follow_Ups!$H:$H,"&lt;&gt;Completed",Follow_Ups!$G:$G,"&gt;="&amp;TODAY()),""))</f>
        <v/>
      </c>
      <c r="AG267" s="2">
        <f>IF(A267="","",COUNTIF(Activities!$B:$B,A267))</f>
        <v/>
      </c>
      <c r="BG267" s="2">
        <f>IF(COUNTA(BH267:BK267)=0,"",ROUND(AVERAGE(BH267:BK267),0))</f>
        <v/>
      </c>
      <c r="BH267" s="2">
        <f>IF(BL267="","",IF(BL267&gt;=90,"HOT",IF(BL267&gt;=75,"HIGH",IF(BL267&gt;=50,"MEDIUM","LOW"))))</f>
        <v/>
      </c>
      <c r="BL267" s="2">
        <f>IFERROR(BN267/12,"")</f>
        <v/>
      </c>
      <c r="BP267" s="15" t="n"/>
    </row>
    <row r="268" ht="15.75" customHeight="1" s="19">
      <c r="AD268" s="13" t="n"/>
      <c r="AE268" s="13">
        <f>IF(A268="","",IFERROR(MAXIFS(Activities!$D:$D,Activities!$B:$B,A268),""))</f>
        <v/>
      </c>
      <c r="AF268" s="13">
        <f>IF(A268="","",IFERROR(MINIFS(Follow_Ups!$G:$G,Follow_Ups!$B:$B,A268,Follow_Ups!$H:$H,"&lt;&gt;Completed",Follow_Ups!$G:$G,"&gt;="&amp;TODAY()),""))</f>
        <v/>
      </c>
      <c r="AG268" s="2">
        <f>IF(A268="","",COUNTIF(Activities!$B:$B,A268))</f>
        <v/>
      </c>
      <c r="BG268" s="2">
        <f>IF(COUNTA(BH268:BK268)=0,"",ROUND(AVERAGE(BH268:BK268),0))</f>
        <v/>
      </c>
      <c r="BH268" s="2">
        <f>IF(BL268="","",IF(BL268&gt;=90,"HOT",IF(BL268&gt;=75,"HIGH",IF(BL268&gt;=50,"MEDIUM","LOW"))))</f>
        <v/>
      </c>
      <c r="BL268" s="2">
        <f>IFERROR(BN268/12,"")</f>
        <v/>
      </c>
      <c r="BP268" s="15" t="n"/>
    </row>
    <row r="269" ht="15.75" customHeight="1" s="19">
      <c r="AD269" s="13" t="n"/>
      <c r="AE269" s="13">
        <f>IF(A269="","",IFERROR(MAXIFS(Activities!$D:$D,Activities!$B:$B,A269),""))</f>
        <v/>
      </c>
      <c r="AF269" s="13">
        <f>IF(A269="","",IFERROR(MINIFS(Follow_Ups!$G:$G,Follow_Ups!$B:$B,A269,Follow_Ups!$H:$H,"&lt;&gt;Completed",Follow_Ups!$G:$G,"&gt;="&amp;TODAY()),""))</f>
        <v/>
      </c>
      <c r="AG269" s="2">
        <f>IF(A269="","",COUNTIF(Activities!$B:$B,A269))</f>
        <v/>
      </c>
      <c r="BG269" s="2">
        <f>IF(COUNTA(BH269:BK269)=0,"",ROUND(AVERAGE(BH269:BK269),0))</f>
        <v/>
      </c>
      <c r="BH269" s="2">
        <f>IF(BL269="","",IF(BL269&gt;=90,"HOT",IF(BL269&gt;=75,"HIGH",IF(BL269&gt;=50,"MEDIUM","LOW"))))</f>
        <v/>
      </c>
      <c r="BL269" s="2">
        <f>IFERROR(BN269/12,"")</f>
        <v/>
      </c>
      <c r="BP269" s="15" t="n"/>
    </row>
    <row r="270" ht="15.75" customHeight="1" s="19">
      <c r="AD270" s="13" t="n"/>
      <c r="AE270" s="13">
        <f>IF(A270="","",IFERROR(MAXIFS(Activities!$D:$D,Activities!$B:$B,A270),""))</f>
        <v/>
      </c>
      <c r="AF270" s="13">
        <f>IF(A270="","",IFERROR(MINIFS(Follow_Ups!$G:$G,Follow_Ups!$B:$B,A270,Follow_Ups!$H:$H,"&lt;&gt;Completed",Follow_Ups!$G:$G,"&gt;="&amp;TODAY()),""))</f>
        <v/>
      </c>
      <c r="AG270" s="2">
        <f>IF(A270="","",COUNTIF(Activities!$B:$B,A270))</f>
        <v/>
      </c>
      <c r="BG270" s="2">
        <f>IF(COUNTA(BH270:BK270)=0,"",ROUND(AVERAGE(BH270:BK270),0))</f>
        <v/>
      </c>
      <c r="BH270" s="2">
        <f>IF(BL270="","",IF(BL270&gt;=90,"HOT",IF(BL270&gt;=75,"HIGH",IF(BL270&gt;=50,"MEDIUM","LOW"))))</f>
        <v/>
      </c>
      <c r="BL270" s="2">
        <f>IFERROR(BN270/12,"")</f>
        <v/>
      </c>
      <c r="BP270" s="15" t="n"/>
    </row>
    <row r="271" ht="15.75" customHeight="1" s="19">
      <c r="AD271" s="13" t="n"/>
      <c r="AE271" s="13">
        <f>IF(A271="","",IFERROR(MAXIFS(Activities!$D:$D,Activities!$B:$B,A271),""))</f>
        <v/>
      </c>
      <c r="AF271" s="13">
        <f>IF(A271="","",IFERROR(MINIFS(Follow_Ups!$G:$G,Follow_Ups!$B:$B,A271,Follow_Ups!$H:$H,"&lt;&gt;Completed",Follow_Ups!$G:$G,"&gt;="&amp;TODAY()),""))</f>
        <v/>
      </c>
      <c r="AG271" s="2">
        <f>IF(A271="","",COUNTIF(Activities!$B:$B,A271))</f>
        <v/>
      </c>
      <c r="BG271" s="2">
        <f>IF(COUNTA(BH271:BK271)=0,"",ROUND(AVERAGE(BH271:BK271),0))</f>
        <v/>
      </c>
      <c r="BH271" s="2">
        <f>IF(BL271="","",IF(BL271&gt;=90,"HOT",IF(BL271&gt;=75,"HIGH",IF(BL271&gt;=50,"MEDIUM","LOW"))))</f>
        <v/>
      </c>
      <c r="BL271" s="2">
        <f>IFERROR(BN271/12,"")</f>
        <v/>
      </c>
      <c r="BP271" s="15" t="n"/>
    </row>
    <row r="272" ht="15.75" customHeight="1" s="19">
      <c r="AD272" s="13" t="n"/>
      <c r="AE272" s="13">
        <f>IF(A272="","",IFERROR(MAXIFS(Activities!$D:$D,Activities!$B:$B,A272),""))</f>
        <v/>
      </c>
      <c r="AF272" s="13">
        <f>IF(A272="","",IFERROR(MINIFS(Follow_Ups!$G:$G,Follow_Ups!$B:$B,A272,Follow_Ups!$H:$H,"&lt;&gt;Completed",Follow_Ups!$G:$G,"&gt;="&amp;TODAY()),""))</f>
        <v/>
      </c>
      <c r="AG272" s="2">
        <f>IF(A272="","",COUNTIF(Activities!$B:$B,A272))</f>
        <v/>
      </c>
      <c r="BG272" s="2">
        <f>IF(COUNTA(BH272:BK272)=0,"",ROUND(AVERAGE(BH272:BK272),0))</f>
        <v/>
      </c>
      <c r="BH272" s="2">
        <f>IF(BL272="","",IF(BL272&gt;=90,"HOT",IF(BL272&gt;=75,"HIGH",IF(BL272&gt;=50,"MEDIUM","LOW"))))</f>
        <v/>
      </c>
      <c r="BL272" s="2">
        <f>IFERROR(BN272/12,"")</f>
        <v/>
      </c>
      <c r="BP272" s="15" t="n"/>
    </row>
    <row r="273" ht="15.75" customHeight="1" s="19">
      <c r="AD273" s="13" t="n"/>
      <c r="AE273" s="13">
        <f>IF(A273="","",IFERROR(MAXIFS(Activities!$D:$D,Activities!$B:$B,A273),""))</f>
        <v/>
      </c>
      <c r="AF273" s="13">
        <f>IF(A273="","",IFERROR(MINIFS(Follow_Ups!$G:$G,Follow_Ups!$B:$B,A273,Follow_Ups!$H:$H,"&lt;&gt;Completed",Follow_Ups!$G:$G,"&gt;="&amp;TODAY()),""))</f>
        <v/>
      </c>
      <c r="AG273" s="2">
        <f>IF(A273="","",COUNTIF(Activities!$B:$B,A273))</f>
        <v/>
      </c>
      <c r="BG273" s="2">
        <f>IF(COUNTA(BH273:BK273)=0,"",ROUND(AVERAGE(BH273:BK273),0))</f>
        <v/>
      </c>
      <c r="BH273" s="2">
        <f>IF(BL273="","",IF(BL273&gt;=90,"HOT",IF(BL273&gt;=75,"HIGH",IF(BL273&gt;=50,"MEDIUM","LOW"))))</f>
        <v/>
      </c>
      <c r="BL273" s="2">
        <f>IFERROR(BN273/12,"")</f>
        <v/>
      </c>
      <c r="BP273" s="15" t="n"/>
    </row>
    <row r="274" ht="15.75" customHeight="1" s="19">
      <c r="AD274" s="13" t="n"/>
      <c r="AE274" s="13">
        <f>IF(A274="","",IFERROR(MAXIFS(Activities!$D:$D,Activities!$B:$B,A274),""))</f>
        <v/>
      </c>
      <c r="AF274" s="13">
        <f>IF(A274="","",IFERROR(MINIFS(Follow_Ups!$G:$G,Follow_Ups!$B:$B,A274,Follow_Ups!$H:$H,"&lt;&gt;Completed",Follow_Ups!$G:$G,"&gt;="&amp;TODAY()),""))</f>
        <v/>
      </c>
      <c r="AG274" s="2">
        <f>IF(A274="","",COUNTIF(Activities!$B:$B,A274))</f>
        <v/>
      </c>
      <c r="BG274" s="2">
        <f>IF(COUNTA(BH274:BK274)=0,"",ROUND(AVERAGE(BH274:BK274),0))</f>
        <v/>
      </c>
      <c r="BH274" s="2">
        <f>IF(BL274="","",IF(BL274&gt;=90,"HOT",IF(BL274&gt;=75,"HIGH",IF(BL274&gt;=50,"MEDIUM","LOW"))))</f>
        <v/>
      </c>
      <c r="BL274" s="2">
        <f>IFERROR(BN274/12,"")</f>
        <v/>
      </c>
      <c r="BP274" s="15" t="n"/>
    </row>
    <row r="275" ht="15.75" customHeight="1" s="19">
      <c r="AD275" s="13" t="n"/>
      <c r="AE275" s="13">
        <f>IF(A275="","",IFERROR(MAXIFS(Activities!$D:$D,Activities!$B:$B,A275),""))</f>
        <v/>
      </c>
      <c r="AF275" s="13">
        <f>IF(A275="","",IFERROR(MINIFS(Follow_Ups!$G:$G,Follow_Ups!$B:$B,A275,Follow_Ups!$H:$H,"&lt;&gt;Completed",Follow_Ups!$G:$G,"&gt;="&amp;TODAY()),""))</f>
        <v/>
      </c>
      <c r="AG275" s="2">
        <f>IF(A275="","",COUNTIF(Activities!$B:$B,A275))</f>
        <v/>
      </c>
      <c r="BG275" s="2">
        <f>IF(COUNTA(BH275:BK275)=0,"",ROUND(AVERAGE(BH275:BK275),0))</f>
        <v/>
      </c>
      <c r="BH275" s="2">
        <f>IF(BL275="","",IF(BL275&gt;=90,"HOT",IF(BL275&gt;=75,"HIGH",IF(BL275&gt;=50,"MEDIUM","LOW"))))</f>
        <v/>
      </c>
      <c r="BL275" s="2">
        <f>IFERROR(BN275/12,"")</f>
        <v/>
      </c>
      <c r="BP275" s="15" t="n"/>
    </row>
    <row r="276" ht="15.75" customHeight="1" s="19">
      <c r="AD276" s="13" t="n"/>
      <c r="AE276" s="13">
        <f>IF(A276="","",IFERROR(MAXIFS(Activities!$D:$D,Activities!$B:$B,A276),""))</f>
        <v/>
      </c>
      <c r="AF276" s="13">
        <f>IF(A276="","",IFERROR(MINIFS(Follow_Ups!$G:$G,Follow_Ups!$B:$B,A276,Follow_Ups!$H:$H,"&lt;&gt;Completed",Follow_Ups!$G:$G,"&gt;="&amp;TODAY()),""))</f>
        <v/>
      </c>
      <c r="AG276" s="2">
        <f>IF(A276="","",COUNTIF(Activities!$B:$B,A276))</f>
        <v/>
      </c>
      <c r="BG276" s="2">
        <f>IF(COUNTA(BH276:BK276)=0,"",ROUND(AVERAGE(BH276:BK276),0))</f>
        <v/>
      </c>
      <c r="BH276" s="2">
        <f>IF(BL276="","",IF(BL276&gt;=90,"HOT",IF(BL276&gt;=75,"HIGH",IF(BL276&gt;=50,"MEDIUM","LOW"))))</f>
        <v/>
      </c>
      <c r="BL276" s="2">
        <f>IFERROR(BN276/12,"")</f>
        <v/>
      </c>
      <c r="BP276" s="15" t="n"/>
    </row>
    <row r="277" ht="15.75" customHeight="1" s="19">
      <c r="AD277" s="13" t="n"/>
      <c r="AE277" s="13">
        <f>IF(A277="","",IFERROR(MAXIFS(Activities!$D:$D,Activities!$B:$B,A277),""))</f>
        <v/>
      </c>
      <c r="AF277" s="13">
        <f>IF(A277="","",IFERROR(MINIFS(Follow_Ups!$G:$G,Follow_Ups!$B:$B,A277,Follow_Ups!$H:$H,"&lt;&gt;Completed",Follow_Ups!$G:$G,"&gt;="&amp;TODAY()),""))</f>
        <v/>
      </c>
      <c r="AG277" s="2">
        <f>IF(A277="","",COUNTIF(Activities!$B:$B,A277))</f>
        <v/>
      </c>
      <c r="BG277" s="2">
        <f>IF(COUNTA(BH277:BK277)=0,"",ROUND(AVERAGE(BH277:BK277),0))</f>
        <v/>
      </c>
      <c r="BH277" s="2">
        <f>IF(BL277="","",IF(BL277&gt;=90,"HOT",IF(BL277&gt;=75,"HIGH",IF(BL277&gt;=50,"MEDIUM","LOW"))))</f>
        <v/>
      </c>
      <c r="BL277" s="2">
        <f>IFERROR(BN277/12,"")</f>
        <v/>
      </c>
      <c r="BP277" s="15" t="n"/>
    </row>
    <row r="278" ht="15.75" customHeight="1" s="19">
      <c r="AD278" s="13" t="n"/>
      <c r="AE278" s="13">
        <f>IF(A278="","",IFERROR(MAXIFS(Activities!$D:$D,Activities!$B:$B,A278),""))</f>
        <v/>
      </c>
      <c r="AF278" s="13">
        <f>IF(A278="","",IFERROR(MINIFS(Follow_Ups!$G:$G,Follow_Ups!$B:$B,A278,Follow_Ups!$H:$H,"&lt;&gt;Completed",Follow_Ups!$G:$G,"&gt;="&amp;TODAY()),""))</f>
        <v/>
      </c>
      <c r="AG278" s="2">
        <f>IF(A278="","",COUNTIF(Activities!$B:$B,A278))</f>
        <v/>
      </c>
      <c r="BG278" s="2">
        <f>IF(COUNTA(BH278:BK278)=0,"",ROUND(AVERAGE(BH278:BK278),0))</f>
        <v/>
      </c>
      <c r="BH278" s="2">
        <f>IF(BL278="","",IF(BL278&gt;=90,"HOT",IF(BL278&gt;=75,"HIGH",IF(BL278&gt;=50,"MEDIUM","LOW"))))</f>
        <v/>
      </c>
      <c r="BL278" s="2">
        <f>IFERROR(BN278/12,"")</f>
        <v/>
      </c>
      <c r="BP278" s="15" t="n"/>
    </row>
    <row r="279" ht="15.75" customHeight="1" s="19">
      <c r="AD279" s="13" t="n"/>
      <c r="AE279" s="13">
        <f>IF(A279="","",IFERROR(MAXIFS(Activities!$D:$D,Activities!$B:$B,A279),""))</f>
        <v/>
      </c>
      <c r="AF279" s="13">
        <f>IF(A279="","",IFERROR(MINIFS(Follow_Ups!$G:$G,Follow_Ups!$B:$B,A279,Follow_Ups!$H:$H,"&lt;&gt;Completed",Follow_Ups!$G:$G,"&gt;="&amp;TODAY()),""))</f>
        <v/>
      </c>
      <c r="AG279" s="2">
        <f>IF(A279="","",COUNTIF(Activities!$B:$B,A279))</f>
        <v/>
      </c>
      <c r="BG279" s="2">
        <f>IF(COUNTA(BH279:BK279)=0,"",ROUND(AVERAGE(BH279:BK279),0))</f>
        <v/>
      </c>
      <c r="BH279" s="2">
        <f>IF(BL279="","",IF(BL279&gt;=90,"HOT",IF(BL279&gt;=75,"HIGH",IF(BL279&gt;=50,"MEDIUM","LOW"))))</f>
        <v/>
      </c>
      <c r="BL279" s="2">
        <f>IFERROR(BN279/12,"")</f>
        <v/>
      </c>
      <c r="BP279" s="15" t="n"/>
    </row>
    <row r="280" ht="15.75" customHeight="1" s="19">
      <c r="AD280" s="13" t="n"/>
      <c r="AE280" s="13">
        <f>IF(A280="","",IFERROR(MAXIFS(Activities!$D:$D,Activities!$B:$B,A280),""))</f>
        <v/>
      </c>
      <c r="AF280" s="13">
        <f>IF(A280="","",IFERROR(MINIFS(Follow_Ups!$G:$G,Follow_Ups!$B:$B,A280,Follow_Ups!$H:$H,"&lt;&gt;Completed",Follow_Ups!$G:$G,"&gt;="&amp;TODAY()),""))</f>
        <v/>
      </c>
      <c r="AG280" s="2">
        <f>IF(A280="","",COUNTIF(Activities!$B:$B,A280))</f>
        <v/>
      </c>
      <c r="BG280" s="2">
        <f>IF(COUNTA(BH280:BK280)=0,"",ROUND(AVERAGE(BH280:BK280),0))</f>
        <v/>
      </c>
      <c r="BH280" s="2">
        <f>IF(BL280="","",IF(BL280&gt;=90,"HOT",IF(BL280&gt;=75,"HIGH",IF(BL280&gt;=50,"MEDIUM","LOW"))))</f>
        <v/>
      </c>
      <c r="BL280" s="2">
        <f>IFERROR(BN280/12,"")</f>
        <v/>
      </c>
      <c r="BP280" s="15" t="n"/>
    </row>
    <row r="281" ht="15.75" customHeight="1" s="19">
      <c r="AD281" s="13" t="n"/>
      <c r="AE281" s="13">
        <f>IF(A281="","",IFERROR(MAXIFS(Activities!$D:$D,Activities!$B:$B,A281),""))</f>
        <v/>
      </c>
      <c r="AF281" s="13">
        <f>IF(A281="","",IFERROR(MINIFS(Follow_Ups!$G:$G,Follow_Ups!$B:$B,A281,Follow_Ups!$H:$H,"&lt;&gt;Completed",Follow_Ups!$G:$G,"&gt;="&amp;TODAY()),""))</f>
        <v/>
      </c>
      <c r="AG281" s="2">
        <f>IF(A281="","",COUNTIF(Activities!$B:$B,A281))</f>
        <v/>
      </c>
      <c r="BG281" s="2">
        <f>IF(COUNTA(BH281:BK281)=0,"",ROUND(AVERAGE(BH281:BK281),0))</f>
        <v/>
      </c>
      <c r="BH281" s="2">
        <f>IF(BL281="","",IF(BL281&gt;=90,"HOT",IF(BL281&gt;=75,"HIGH",IF(BL281&gt;=50,"MEDIUM","LOW"))))</f>
        <v/>
      </c>
      <c r="BL281" s="2">
        <f>IFERROR(BN281/12,"")</f>
        <v/>
      </c>
      <c r="BP281" s="15" t="n"/>
    </row>
    <row r="282" ht="15.75" customHeight="1" s="19">
      <c r="AD282" s="13" t="n"/>
      <c r="AE282" s="13">
        <f>IF(A282="","",IFERROR(MAXIFS(Activities!$D:$D,Activities!$B:$B,A282),""))</f>
        <v/>
      </c>
      <c r="AF282" s="13">
        <f>IF(A282="","",IFERROR(MINIFS(Follow_Ups!$G:$G,Follow_Ups!$B:$B,A282,Follow_Ups!$H:$H,"&lt;&gt;Completed",Follow_Ups!$G:$G,"&gt;="&amp;TODAY()),""))</f>
        <v/>
      </c>
      <c r="AG282" s="2">
        <f>IF(A282="","",COUNTIF(Activities!$B:$B,A282))</f>
        <v/>
      </c>
      <c r="BG282" s="2">
        <f>IF(COUNTA(BH282:BK282)=0,"",ROUND(AVERAGE(BH282:BK282),0))</f>
        <v/>
      </c>
      <c r="BH282" s="2">
        <f>IF(BL282="","",IF(BL282&gt;=90,"HOT",IF(BL282&gt;=75,"HIGH",IF(BL282&gt;=50,"MEDIUM","LOW"))))</f>
        <v/>
      </c>
      <c r="BL282" s="2">
        <f>IFERROR(BN282/12,"")</f>
        <v/>
      </c>
      <c r="BP282" s="15" t="n"/>
    </row>
    <row r="283" ht="15.75" customHeight="1" s="19">
      <c r="AD283" s="13" t="n"/>
      <c r="AE283" s="13">
        <f>IF(A283="","",IFERROR(MAXIFS(Activities!$D:$D,Activities!$B:$B,A283),""))</f>
        <v/>
      </c>
      <c r="AF283" s="13">
        <f>IF(A283="","",IFERROR(MINIFS(Follow_Ups!$G:$G,Follow_Ups!$B:$B,A283,Follow_Ups!$H:$H,"&lt;&gt;Completed",Follow_Ups!$G:$G,"&gt;="&amp;TODAY()),""))</f>
        <v/>
      </c>
      <c r="AG283" s="2">
        <f>IF(A283="","",COUNTIF(Activities!$B:$B,A283))</f>
        <v/>
      </c>
      <c r="BG283" s="2">
        <f>IF(COUNTA(BH283:BK283)=0,"",ROUND(AVERAGE(BH283:BK283),0))</f>
        <v/>
      </c>
      <c r="BH283" s="2">
        <f>IF(BL283="","",IF(BL283&gt;=90,"HOT",IF(BL283&gt;=75,"HIGH",IF(BL283&gt;=50,"MEDIUM","LOW"))))</f>
        <v/>
      </c>
      <c r="BL283" s="2">
        <f>IFERROR(BN283/12,"")</f>
        <v/>
      </c>
      <c r="BP283" s="15" t="n"/>
    </row>
    <row r="284" ht="15.75" customHeight="1" s="19">
      <c r="AD284" s="13" t="n"/>
      <c r="AE284" s="13">
        <f>IF(A284="","",IFERROR(MAXIFS(Activities!$D:$D,Activities!$B:$B,A284),""))</f>
        <v/>
      </c>
      <c r="AF284" s="13">
        <f>IF(A284="","",IFERROR(MINIFS(Follow_Ups!$G:$G,Follow_Ups!$B:$B,A284,Follow_Ups!$H:$H,"&lt;&gt;Completed",Follow_Ups!$G:$G,"&gt;="&amp;TODAY()),""))</f>
        <v/>
      </c>
      <c r="AG284" s="2">
        <f>IF(A284="","",COUNTIF(Activities!$B:$B,A284))</f>
        <v/>
      </c>
      <c r="BG284" s="2">
        <f>IF(COUNTA(BH284:BK284)=0,"",ROUND(AVERAGE(BH284:BK284),0))</f>
        <v/>
      </c>
      <c r="BH284" s="2">
        <f>IF(BL284="","",IF(BL284&gt;=90,"HOT",IF(BL284&gt;=75,"HIGH",IF(BL284&gt;=50,"MEDIUM","LOW"))))</f>
        <v/>
      </c>
      <c r="BL284" s="2">
        <f>IFERROR(BN284/12,"")</f>
        <v/>
      </c>
      <c r="BP284" s="15" t="n"/>
    </row>
    <row r="285" ht="15.75" customHeight="1" s="19">
      <c r="AD285" s="13" t="n"/>
      <c r="AE285" s="13">
        <f>IF(A285="","",IFERROR(MAXIFS(Activities!$D:$D,Activities!$B:$B,A285),""))</f>
        <v/>
      </c>
      <c r="AF285" s="13">
        <f>IF(A285="","",IFERROR(MINIFS(Follow_Ups!$G:$G,Follow_Ups!$B:$B,A285,Follow_Ups!$H:$H,"&lt;&gt;Completed",Follow_Ups!$G:$G,"&gt;="&amp;TODAY()),""))</f>
        <v/>
      </c>
      <c r="AG285" s="2">
        <f>IF(A285="","",COUNTIF(Activities!$B:$B,A285))</f>
        <v/>
      </c>
      <c r="BG285" s="2">
        <f>IF(COUNTA(BH285:BK285)=0,"",ROUND(AVERAGE(BH285:BK285),0))</f>
        <v/>
      </c>
      <c r="BH285" s="2">
        <f>IF(BL285="","",IF(BL285&gt;=90,"HOT",IF(BL285&gt;=75,"HIGH",IF(BL285&gt;=50,"MEDIUM","LOW"))))</f>
        <v/>
      </c>
      <c r="BL285" s="2">
        <f>IFERROR(BN285/12,"")</f>
        <v/>
      </c>
      <c r="BP285" s="15" t="n"/>
    </row>
    <row r="286" ht="15.75" customHeight="1" s="19">
      <c r="AD286" s="13" t="n"/>
      <c r="AE286" s="13">
        <f>IF(A286="","",IFERROR(MAXIFS(Activities!$D:$D,Activities!$B:$B,A286),""))</f>
        <v/>
      </c>
      <c r="AF286" s="13">
        <f>IF(A286="","",IFERROR(MINIFS(Follow_Ups!$G:$G,Follow_Ups!$B:$B,A286,Follow_Ups!$H:$H,"&lt;&gt;Completed",Follow_Ups!$G:$G,"&gt;="&amp;TODAY()),""))</f>
        <v/>
      </c>
      <c r="AG286" s="2">
        <f>IF(A286="","",COUNTIF(Activities!$B:$B,A286))</f>
        <v/>
      </c>
      <c r="BG286" s="2">
        <f>IF(COUNTA(BH286:BK286)=0,"",ROUND(AVERAGE(BH286:BK286),0))</f>
        <v/>
      </c>
      <c r="BH286" s="2">
        <f>IF(BL286="","",IF(BL286&gt;=90,"HOT",IF(BL286&gt;=75,"HIGH",IF(BL286&gt;=50,"MEDIUM","LOW"))))</f>
        <v/>
      </c>
      <c r="BL286" s="2">
        <f>IFERROR(BN286/12,"")</f>
        <v/>
      </c>
      <c r="BP286" s="15" t="n"/>
    </row>
    <row r="287" ht="15.75" customHeight="1" s="19">
      <c r="AD287" s="13" t="n"/>
      <c r="AE287" s="13">
        <f>IF(A287="","",IFERROR(MAXIFS(Activities!$D:$D,Activities!$B:$B,A287),""))</f>
        <v/>
      </c>
      <c r="AF287" s="13">
        <f>IF(A287="","",IFERROR(MINIFS(Follow_Ups!$G:$G,Follow_Ups!$B:$B,A287,Follow_Ups!$H:$H,"&lt;&gt;Completed",Follow_Ups!$G:$G,"&gt;="&amp;TODAY()),""))</f>
        <v/>
      </c>
      <c r="AG287" s="2">
        <f>IF(A287="","",COUNTIF(Activities!$B:$B,A287))</f>
        <v/>
      </c>
      <c r="BG287" s="2">
        <f>IF(COUNTA(BH287:BK287)=0,"",ROUND(AVERAGE(BH287:BK287),0))</f>
        <v/>
      </c>
      <c r="BH287" s="2">
        <f>IF(BL287="","",IF(BL287&gt;=90,"HOT",IF(BL287&gt;=75,"HIGH",IF(BL287&gt;=50,"MEDIUM","LOW"))))</f>
        <v/>
      </c>
      <c r="BL287" s="2">
        <f>IFERROR(BN287/12,"")</f>
        <v/>
      </c>
      <c r="BP287" s="15" t="n"/>
    </row>
    <row r="288" ht="15.75" customHeight="1" s="19">
      <c r="AD288" s="13" t="n"/>
      <c r="AE288" s="13">
        <f>IF(A288="","",IFERROR(MAXIFS(Activities!$D:$D,Activities!$B:$B,A288),""))</f>
        <v/>
      </c>
      <c r="AF288" s="13">
        <f>IF(A288="","",IFERROR(MINIFS(Follow_Ups!$G:$G,Follow_Ups!$B:$B,A288,Follow_Ups!$H:$H,"&lt;&gt;Completed",Follow_Ups!$G:$G,"&gt;="&amp;TODAY()),""))</f>
        <v/>
      </c>
      <c r="AG288" s="2">
        <f>IF(A288="","",COUNTIF(Activities!$B:$B,A288))</f>
        <v/>
      </c>
      <c r="BG288" s="2">
        <f>IF(COUNTA(BH288:BK288)=0,"",ROUND(AVERAGE(BH288:BK288),0))</f>
        <v/>
      </c>
      <c r="BH288" s="2">
        <f>IF(BL288="","",IF(BL288&gt;=90,"HOT",IF(BL288&gt;=75,"HIGH",IF(BL288&gt;=50,"MEDIUM","LOW"))))</f>
        <v/>
      </c>
      <c r="BL288" s="2">
        <f>IFERROR(BN288/12,"")</f>
        <v/>
      </c>
      <c r="BP288" s="15" t="n"/>
    </row>
    <row r="289" ht="15.75" customHeight="1" s="19">
      <c r="AD289" s="13" t="n"/>
      <c r="AE289" s="13">
        <f>IF(A289="","",IFERROR(MAXIFS(Activities!$D:$D,Activities!$B:$B,A289),""))</f>
        <v/>
      </c>
      <c r="AF289" s="13">
        <f>IF(A289="","",IFERROR(MINIFS(Follow_Ups!$G:$G,Follow_Ups!$B:$B,A289,Follow_Ups!$H:$H,"&lt;&gt;Completed",Follow_Ups!$G:$G,"&gt;="&amp;TODAY()),""))</f>
        <v/>
      </c>
      <c r="AG289" s="2">
        <f>IF(A289="","",COUNTIF(Activities!$B:$B,A289))</f>
        <v/>
      </c>
      <c r="BG289" s="2">
        <f>IF(COUNTA(BH289:BK289)=0,"",ROUND(AVERAGE(BH289:BK289),0))</f>
        <v/>
      </c>
      <c r="BH289" s="2">
        <f>IF(BL289="","",IF(BL289&gt;=90,"HOT",IF(BL289&gt;=75,"HIGH",IF(BL289&gt;=50,"MEDIUM","LOW"))))</f>
        <v/>
      </c>
      <c r="BL289" s="2">
        <f>IFERROR(BN289/12,"")</f>
        <v/>
      </c>
      <c r="BP289" s="15" t="n"/>
    </row>
    <row r="290" ht="15.75" customHeight="1" s="19">
      <c r="AD290" s="13" t="n"/>
      <c r="AE290" s="13">
        <f>IF(A290="","",IFERROR(MAXIFS(Activities!$D:$D,Activities!$B:$B,A290),""))</f>
        <v/>
      </c>
      <c r="AF290" s="13">
        <f>IF(A290="","",IFERROR(MINIFS(Follow_Ups!$G:$G,Follow_Ups!$B:$B,A290,Follow_Ups!$H:$H,"&lt;&gt;Completed",Follow_Ups!$G:$G,"&gt;="&amp;TODAY()),""))</f>
        <v/>
      </c>
      <c r="AG290" s="2">
        <f>IF(A290="","",COUNTIF(Activities!$B:$B,A290))</f>
        <v/>
      </c>
      <c r="BG290" s="2">
        <f>IF(COUNTA(BH290:BK290)=0,"",ROUND(AVERAGE(BH290:BK290),0))</f>
        <v/>
      </c>
      <c r="BH290" s="2">
        <f>IF(BL290="","",IF(BL290&gt;=90,"HOT",IF(BL290&gt;=75,"HIGH",IF(BL290&gt;=50,"MEDIUM","LOW"))))</f>
        <v/>
      </c>
      <c r="BL290" s="2">
        <f>IFERROR(BN290/12,"")</f>
        <v/>
      </c>
      <c r="BP290" s="15" t="n"/>
    </row>
    <row r="291" ht="15.75" customHeight="1" s="19">
      <c r="AD291" s="13" t="n"/>
      <c r="AE291" s="13">
        <f>IF(A291="","",IFERROR(MAXIFS(Activities!$D:$D,Activities!$B:$B,A291),""))</f>
        <v/>
      </c>
      <c r="AF291" s="13">
        <f>IF(A291="","",IFERROR(MINIFS(Follow_Ups!$G:$G,Follow_Ups!$B:$B,A291,Follow_Ups!$H:$H,"&lt;&gt;Completed",Follow_Ups!$G:$G,"&gt;="&amp;TODAY()),""))</f>
        <v/>
      </c>
      <c r="AG291" s="2">
        <f>IF(A291="","",COUNTIF(Activities!$B:$B,A291))</f>
        <v/>
      </c>
      <c r="BG291" s="2">
        <f>IF(COUNTA(BH291:BK291)=0,"",ROUND(AVERAGE(BH291:BK291),0))</f>
        <v/>
      </c>
      <c r="BH291" s="2">
        <f>IF(BL291="","",IF(BL291&gt;=90,"HOT",IF(BL291&gt;=75,"HIGH",IF(BL291&gt;=50,"MEDIUM","LOW"))))</f>
        <v/>
      </c>
      <c r="BL291" s="2">
        <f>IFERROR(BN291/12,"")</f>
        <v/>
      </c>
      <c r="BP291" s="15" t="n"/>
    </row>
    <row r="292" ht="15.75" customHeight="1" s="19">
      <c r="AD292" s="13" t="n"/>
      <c r="AE292" s="13">
        <f>IF(A292="","",IFERROR(MAXIFS(Activities!$D:$D,Activities!$B:$B,A292),""))</f>
        <v/>
      </c>
      <c r="AF292" s="13">
        <f>IF(A292="","",IFERROR(MINIFS(Follow_Ups!$G:$G,Follow_Ups!$B:$B,A292,Follow_Ups!$H:$H,"&lt;&gt;Completed",Follow_Ups!$G:$G,"&gt;="&amp;TODAY()),""))</f>
        <v/>
      </c>
      <c r="AG292" s="2">
        <f>IF(A292="","",COUNTIF(Activities!$B:$B,A292))</f>
        <v/>
      </c>
      <c r="BG292" s="2">
        <f>IF(COUNTA(BH292:BK292)=0,"",ROUND(AVERAGE(BH292:BK292),0))</f>
        <v/>
      </c>
      <c r="BH292" s="2">
        <f>IF(BL292="","",IF(BL292&gt;=90,"HOT",IF(BL292&gt;=75,"HIGH",IF(BL292&gt;=50,"MEDIUM","LOW"))))</f>
        <v/>
      </c>
      <c r="BL292" s="2">
        <f>IFERROR(BN292/12,"")</f>
        <v/>
      </c>
      <c r="BP292" s="15" t="n"/>
    </row>
    <row r="293" ht="15.75" customHeight="1" s="19">
      <c r="AD293" s="13" t="n"/>
      <c r="AE293" s="13">
        <f>IF(A293="","",IFERROR(MAXIFS(Activities!$D:$D,Activities!$B:$B,A293),""))</f>
        <v/>
      </c>
      <c r="AF293" s="13">
        <f>IF(A293="","",IFERROR(MINIFS(Follow_Ups!$G:$G,Follow_Ups!$B:$B,A293,Follow_Ups!$H:$H,"&lt;&gt;Completed",Follow_Ups!$G:$G,"&gt;="&amp;TODAY()),""))</f>
        <v/>
      </c>
      <c r="AG293" s="2">
        <f>IF(A293="","",COUNTIF(Activities!$B:$B,A293))</f>
        <v/>
      </c>
      <c r="BG293" s="2">
        <f>IF(COUNTA(BH293:BK293)=0,"",ROUND(AVERAGE(BH293:BK293),0))</f>
        <v/>
      </c>
      <c r="BH293" s="2">
        <f>IF(BL293="","",IF(BL293&gt;=90,"HOT",IF(BL293&gt;=75,"HIGH",IF(BL293&gt;=50,"MEDIUM","LOW"))))</f>
        <v/>
      </c>
      <c r="BL293" s="2">
        <f>IFERROR(BN293/12,"")</f>
        <v/>
      </c>
      <c r="BP293" s="15" t="n"/>
    </row>
    <row r="294" ht="15.75" customHeight="1" s="19">
      <c r="AD294" s="13" t="n"/>
      <c r="AE294" s="13">
        <f>IF(A294="","",IFERROR(MAXIFS(Activities!$D:$D,Activities!$B:$B,A294),""))</f>
        <v/>
      </c>
      <c r="AF294" s="13">
        <f>IF(A294="","",IFERROR(MINIFS(Follow_Ups!$G:$G,Follow_Ups!$B:$B,A294,Follow_Ups!$H:$H,"&lt;&gt;Completed",Follow_Ups!$G:$G,"&gt;="&amp;TODAY()),""))</f>
        <v/>
      </c>
      <c r="AG294" s="2">
        <f>IF(A294="","",COUNTIF(Activities!$B:$B,A294))</f>
        <v/>
      </c>
      <c r="BG294" s="2">
        <f>IF(COUNTA(BH294:BK294)=0,"",ROUND(AVERAGE(BH294:BK294),0))</f>
        <v/>
      </c>
      <c r="BH294" s="2">
        <f>IF(BL294="","",IF(BL294&gt;=90,"HOT",IF(BL294&gt;=75,"HIGH",IF(BL294&gt;=50,"MEDIUM","LOW"))))</f>
        <v/>
      </c>
      <c r="BL294" s="2">
        <f>IFERROR(BN294/12,"")</f>
        <v/>
      </c>
      <c r="BP294" s="15" t="n"/>
    </row>
    <row r="295" ht="15.75" customHeight="1" s="19">
      <c r="AD295" s="13" t="n"/>
      <c r="AE295" s="13">
        <f>IF(A295="","",IFERROR(MAXIFS(Activities!$D:$D,Activities!$B:$B,A295),""))</f>
        <v/>
      </c>
      <c r="AF295" s="13">
        <f>IF(A295="","",IFERROR(MINIFS(Follow_Ups!$G:$G,Follow_Ups!$B:$B,A295,Follow_Ups!$H:$H,"&lt;&gt;Completed",Follow_Ups!$G:$G,"&gt;="&amp;TODAY()),""))</f>
        <v/>
      </c>
      <c r="AG295" s="2">
        <f>IF(A295="","",COUNTIF(Activities!$B:$B,A295))</f>
        <v/>
      </c>
      <c r="BG295" s="2">
        <f>IF(COUNTA(BH295:BK295)=0,"",ROUND(AVERAGE(BH295:BK295),0))</f>
        <v/>
      </c>
      <c r="BH295" s="2">
        <f>IF(BL295="","",IF(BL295&gt;=90,"HOT",IF(BL295&gt;=75,"HIGH",IF(BL295&gt;=50,"MEDIUM","LOW"))))</f>
        <v/>
      </c>
      <c r="BL295" s="2">
        <f>IFERROR(BN295/12,"")</f>
        <v/>
      </c>
      <c r="BP295" s="15" t="n"/>
    </row>
    <row r="296" ht="15.75" customHeight="1" s="19">
      <c r="AD296" s="13" t="n"/>
      <c r="AE296" s="13">
        <f>IF(A296="","",IFERROR(MAXIFS(Activities!$D:$D,Activities!$B:$B,A296),""))</f>
        <v/>
      </c>
      <c r="AF296" s="13">
        <f>IF(A296="","",IFERROR(MINIFS(Follow_Ups!$G:$G,Follow_Ups!$B:$B,A296,Follow_Ups!$H:$H,"&lt;&gt;Completed",Follow_Ups!$G:$G,"&gt;="&amp;TODAY()),""))</f>
        <v/>
      </c>
      <c r="AG296" s="2">
        <f>IF(A296="","",COUNTIF(Activities!$B:$B,A296))</f>
        <v/>
      </c>
      <c r="BG296" s="2">
        <f>IF(COUNTA(BH296:BK296)=0,"",ROUND(AVERAGE(BH296:BK296),0))</f>
        <v/>
      </c>
      <c r="BH296" s="2">
        <f>IF(BL296="","",IF(BL296&gt;=90,"HOT",IF(BL296&gt;=75,"HIGH",IF(BL296&gt;=50,"MEDIUM","LOW"))))</f>
        <v/>
      </c>
      <c r="BL296" s="2">
        <f>IFERROR(BN296/12,"")</f>
        <v/>
      </c>
      <c r="BP296" s="15" t="n"/>
    </row>
    <row r="297" ht="15.75" customHeight="1" s="19">
      <c r="AD297" s="13" t="n"/>
      <c r="AE297" s="13">
        <f>IF(A297="","",IFERROR(MAXIFS(Activities!$D:$D,Activities!$B:$B,A297),""))</f>
        <v/>
      </c>
      <c r="AF297" s="13">
        <f>IF(A297="","",IFERROR(MINIFS(Follow_Ups!$G:$G,Follow_Ups!$B:$B,A297,Follow_Ups!$H:$H,"&lt;&gt;Completed",Follow_Ups!$G:$G,"&gt;="&amp;TODAY()),""))</f>
        <v/>
      </c>
      <c r="AG297" s="2">
        <f>IF(A297="","",COUNTIF(Activities!$B:$B,A297))</f>
        <v/>
      </c>
      <c r="BG297" s="2">
        <f>IF(COUNTA(BH297:BK297)=0,"",ROUND(AVERAGE(BH297:BK297),0))</f>
        <v/>
      </c>
      <c r="BH297" s="2">
        <f>IF(BL297="","",IF(BL297&gt;=90,"HOT",IF(BL297&gt;=75,"HIGH",IF(BL297&gt;=50,"MEDIUM","LOW"))))</f>
        <v/>
      </c>
      <c r="BL297" s="2">
        <f>IFERROR(BN297/12,"")</f>
        <v/>
      </c>
      <c r="BP297" s="15" t="n"/>
    </row>
    <row r="298" ht="15.75" customHeight="1" s="19">
      <c r="AD298" s="13" t="n"/>
      <c r="AE298" s="13">
        <f>IF(A298="","",IFERROR(MAXIFS(Activities!$D:$D,Activities!$B:$B,A298),""))</f>
        <v/>
      </c>
      <c r="AF298" s="13">
        <f>IF(A298="","",IFERROR(MINIFS(Follow_Ups!$G:$G,Follow_Ups!$B:$B,A298,Follow_Ups!$H:$H,"&lt;&gt;Completed",Follow_Ups!$G:$G,"&gt;="&amp;TODAY()),""))</f>
        <v/>
      </c>
      <c r="AG298" s="2">
        <f>IF(A298="","",COUNTIF(Activities!$B:$B,A298))</f>
        <v/>
      </c>
      <c r="BG298" s="2">
        <f>IF(COUNTA(BH298:BK298)=0,"",ROUND(AVERAGE(BH298:BK298),0))</f>
        <v/>
      </c>
      <c r="BH298" s="2">
        <f>IF(BL298="","",IF(BL298&gt;=90,"HOT",IF(BL298&gt;=75,"HIGH",IF(BL298&gt;=50,"MEDIUM","LOW"))))</f>
        <v/>
      </c>
      <c r="BL298" s="2">
        <f>IFERROR(BN298/12,"")</f>
        <v/>
      </c>
      <c r="BP298" s="15" t="n"/>
    </row>
    <row r="299" ht="15.75" customHeight="1" s="19">
      <c r="AD299" s="13" t="n"/>
      <c r="AE299" s="13">
        <f>IF(A299="","",IFERROR(MAXIFS(Activities!$D:$D,Activities!$B:$B,A299),""))</f>
        <v/>
      </c>
      <c r="AF299" s="13">
        <f>IF(A299="","",IFERROR(MINIFS(Follow_Ups!$G:$G,Follow_Ups!$B:$B,A299,Follow_Ups!$H:$H,"&lt;&gt;Completed",Follow_Ups!$G:$G,"&gt;="&amp;TODAY()),""))</f>
        <v/>
      </c>
      <c r="AG299" s="2">
        <f>IF(A299="","",COUNTIF(Activities!$B:$B,A299))</f>
        <v/>
      </c>
      <c r="BG299" s="2">
        <f>IF(COUNTA(BH299:BK299)=0,"",ROUND(AVERAGE(BH299:BK299),0))</f>
        <v/>
      </c>
      <c r="BH299" s="2">
        <f>IF(BL299="","",IF(BL299&gt;=90,"HOT",IF(BL299&gt;=75,"HIGH",IF(BL299&gt;=50,"MEDIUM","LOW"))))</f>
        <v/>
      </c>
      <c r="BL299" s="2">
        <f>IFERROR(BN299/12,"")</f>
        <v/>
      </c>
      <c r="BP299" s="15" t="n"/>
    </row>
    <row r="300" ht="15.75" customHeight="1" s="19">
      <c r="AD300" s="13" t="n"/>
      <c r="AE300" s="13">
        <f>IF(A300="","",IFERROR(MAXIFS(Activities!$D:$D,Activities!$B:$B,A300),""))</f>
        <v/>
      </c>
      <c r="AF300" s="13">
        <f>IF(A300="","",IFERROR(MINIFS(Follow_Ups!$G:$G,Follow_Ups!$B:$B,A300,Follow_Ups!$H:$H,"&lt;&gt;Completed",Follow_Ups!$G:$G,"&gt;="&amp;TODAY()),""))</f>
        <v/>
      </c>
      <c r="AG300" s="2">
        <f>IF(A300="","",COUNTIF(Activities!$B:$B,A300))</f>
        <v/>
      </c>
      <c r="BG300" s="2">
        <f>IF(COUNTA(BH300:BK300)=0,"",ROUND(AVERAGE(BH300:BK300),0))</f>
        <v/>
      </c>
      <c r="BH300" s="2">
        <f>IF(BL300="","",IF(BL300&gt;=90,"HOT",IF(BL300&gt;=75,"HIGH",IF(BL300&gt;=50,"MEDIUM","LOW"))))</f>
        <v/>
      </c>
      <c r="BL300" s="2">
        <f>IFERROR(BN300/12,"")</f>
        <v/>
      </c>
      <c r="BP300" s="15" t="n"/>
    </row>
    <row r="301" ht="15.75" customHeight="1" s="19">
      <c r="AD301" s="13" t="n"/>
      <c r="AE301" s="13">
        <f>IF(A301="","",IFERROR(MAXIFS(Activities!$D:$D,Activities!$B:$B,A301),""))</f>
        <v/>
      </c>
      <c r="AF301" s="13">
        <f>IF(A301="","",IFERROR(MINIFS(Follow_Ups!$G:$G,Follow_Ups!$B:$B,A301,Follow_Ups!$H:$H,"&lt;&gt;Completed",Follow_Ups!$G:$G,"&gt;="&amp;TODAY()),""))</f>
        <v/>
      </c>
      <c r="AG301" s="2">
        <f>IF(A301="","",COUNTIF(Activities!$B:$B,A301))</f>
        <v/>
      </c>
      <c r="BG301" s="2">
        <f>IF(COUNTA(BH301:BK301)=0,"",ROUND(AVERAGE(BH301:BK301),0))</f>
        <v/>
      </c>
      <c r="BH301" s="2">
        <f>IF(BL301="","",IF(BL301&gt;=90,"HOT",IF(BL301&gt;=75,"HIGH",IF(BL301&gt;=50,"MEDIUM","LOW"))))</f>
        <v/>
      </c>
      <c r="BL301" s="2">
        <f>IFERROR(BN301/12,"")</f>
        <v/>
      </c>
      <c r="BP301" s="15" t="n"/>
    </row>
    <row r="302" ht="15.75" customHeight="1" s="19">
      <c r="AD302" s="13" t="n"/>
      <c r="AE302" s="13">
        <f>IF(A302="","",IFERROR(MAXIFS(Activities!$D:$D,Activities!$B:$B,A302),""))</f>
        <v/>
      </c>
      <c r="AF302" s="13">
        <f>IF(A302="","",IFERROR(MINIFS(Follow_Ups!$G:$G,Follow_Ups!$B:$B,A302,Follow_Ups!$H:$H,"&lt;&gt;Completed",Follow_Ups!$G:$G,"&gt;="&amp;TODAY()),""))</f>
        <v/>
      </c>
      <c r="AG302" s="2">
        <f>IF(A302="","",COUNTIF(Activities!$B:$B,A302))</f>
        <v/>
      </c>
      <c r="BG302" s="2">
        <f>IF(COUNTA(BH302:BK302)=0,"",ROUND(AVERAGE(BH302:BK302),0))</f>
        <v/>
      </c>
      <c r="BH302" s="2">
        <f>IF(BL302="","",IF(BL302&gt;=90,"HOT",IF(BL302&gt;=75,"HIGH",IF(BL302&gt;=50,"MEDIUM","LOW"))))</f>
        <v/>
      </c>
      <c r="BL302" s="2">
        <f>IFERROR(BN302/12,"")</f>
        <v/>
      </c>
      <c r="BP302" s="15" t="n"/>
    </row>
    <row r="303" ht="15.75" customHeight="1" s="19">
      <c r="AD303" s="13" t="n"/>
      <c r="AE303" s="13">
        <f>IF(A303="","",IFERROR(MAXIFS(Activities!$D:$D,Activities!$B:$B,A303),""))</f>
        <v/>
      </c>
      <c r="AF303" s="13">
        <f>IF(A303="","",IFERROR(MINIFS(Follow_Ups!$G:$G,Follow_Ups!$B:$B,A303,Follow_Ups!$H:$H,"&lt;&gt;Completed",Follow_Ups!$G:$G,"&gt;="&amp;TODAY()),""))</f>
        <v/>
      </c>
      <c r="AG303" s="2">
        <f>IF(A303="","",COUNTIF(Activities!$B:$B,A303))</f>
        <v/>
      </c>
      <c r="BG303" s="2">
        <f>IF(COUNTA(BH303:BK303)=0,"",ROUND(AVERAGE(BH303:BK303),0))</f>
        <v/>
      </c>
      <c r="BH303" s="2">
        <f>IF(BL303="","",IF(BL303&gt;=90,"HOT",IF(BL303&gt;=75,"HIGH",IF(BL303&gt;=50,"MEDIUM","LOW"))))</f>
        <v/>
      </c>
      <c r="BL303" s="2">
        <f>IFERROR(BN303/12,"")</f>
        <v/>
      </c>
      <c r="BP303" s="15" t="n"/>
    </row>
    <row r="304" ht="15.75" customHeight="1" s="19">
      <c r="AD304" s="13" t="n"/>
      <c r="AE304" s="13">
        <f>IF(A304="","",IFERROR(MAXIFS(Activities!$D:$D,Activities!$B:$B,A304),""))</f>
        <v/>
      </c>
      <c r="AF304" s="13">
        <f>IF(A304="","",IFERROR(MINIFS(Follow_Ups!$G:$G,Follow_Ups!$B:$B,A304,Follow_Ups!$H:$H,"&lt;&gt;Completed",Follow_Ups!$G:$G,"&gt;="&amp;TODAY()),""))</f>
        <v/>
      </c>
      <c r="AG304" s="2">
        <f>IF(A304="","",COUNTIF(Activities!$B:$B,A304))</f>
        <v/>
      </c>
      <c r="BG304" s="2">
        <f>IF(COUNTA(BH304:BK304)=0,"",ROUND(AVERAGE(BH304:BK304),0))</f>
        <v/>
      </c>
      <c r="BH304" s="2">
        <f>IF(BL304="","",IF(BL304&gt;=90,"HOT",IF(BL304&gt;=75,"HIGH",IF(BL304&gt;=50,"MEDIUM","LOW"))))</f>
        <v/>
      </c>
      <c r="BL304" s="2">
        <f>IFERROR(BN304/12,"")</f>
        <v/>
      </c>
      <c r="BP304" s="15" t="n"/>
    </row>
    <row r="305" ht="15.75" customHeight="1" s="19">
      <c r="AD305" s="13" t="n"/>
      <c r="AE305" s="13">
        <f>IF(A305="","",IFERROR(MAXIFS(Activities!$D:$D,Activities!$B:$B,A305),""))</f>
        <v/>
      </c>
      <c r="AF305" s="13">
        <f>IF(A305="","",IFERROR(MINIFS(Follow_Ups!$G:$G,Follow_Ups!$B:$B,A305,Follow_Ups!$H:$H,"&lt;&gt;Completed",Follow_Ups!$G:$G,"&gt;="&amp;TODAY()),""))</f>
        <v/>
      </c>
      <c r="AG305" s="2">
        <f>IF(A305="","",COUNTIF(Activities!$B:$B,A305))</f>
        <v/>
      </c>
      <c r="BG305" s="2">
        <f>IF(COUNTA(BH305:BK305)=0,"",ROUND(AVERAGE(BH305:BK305),0))</f>
        <v/>
      </c>
      <c r="BH305" s="2">
        <f>IF(BL305="","",IF(BL305&gt;=90,"HOT",IF(BL305&gt;=75,"HIGH",IF(BL305&gt;=50,"MEDIUM","LOW"))))</f>
        <v/>
      </c>
      <c r="BL305" s="2">
        <f>IFERROR(BN305/12,"")</f>
        <v/>
      </c>
      <c r="BP305" s="15" t="n"/>
    </row>
    <row r="306" ht="15.75" customHeight="1" s="19">
      <c r="AD306" s="13" t="n"/>
      <c r="AE306" s="13">
        <f>IF(A306="","",IFERROR(MAXIFS(Activities!$D:$D,Activities!$B:$B,A306),""))</f>
        <v/>
      </c>
      <c r="AF306" s="13">
        <f>IF(A306="","",IFERROR(MINIFS(Follow_Ups!$G:$G,Follow_Ups!$B:$B,A306,Follow_Ups!$H:$H,"&lt;&gt;Completed",Follow_Ups!$G:$G,"&gt;="&amp;TODAY()),""))</f>
        <v/>
      </c>
      <c r="AG306" s="2">
        <f>IF(A306="","",COUNTIF(Activities!$B:$B,A306))</f>
        <v/>
      </c>
      <c r="BG306" s="2">
        <f>IF(COUNTA(BH306:BK306)=0,"",ROUND(AVERAGE(BH306:BK306),0))</f>
        <v/>
      </c>
      <c r="BH306" s="2">
        <f>IF(BL306="","",IF(BL306&gt;=90,"HOT",IF(BL306&gt;=75,"HIGH",IF(BL306&gt;=50,"MEDIUM","LOW"))))</f>
        <v/>
      </c>
      <c r="BL306" s="2">
        <f>IFERROR(BN306/12,"")</f>
        <v/>
      </c>
      <c r="BP306" s="15" t="n"/>
    </row>
    <row r="307" ht="15.75" customHeight="1" s="19">
      <c r="AD307" s="13" t="n"/>
      <c r="AE307" s="13">
        <f>IF(A307="","",IFERROR(MAXIFS(Activities!$D:$D,Activities!$B:$B,A307),""))</f>
        <v/>
      </c>
      <c r="AF307" s="13">
        <f>IF(A307="","",IFERROR(MINIFS(Follow_Ups!$G:$G,Follow_Ups!$B:$B,A307,Follow_Ups!$H:$H,"&lt;&gt;Completed",Follow_Ups!$G:$G,"&gt;="&amp;TODAY()),""))</f>
        <v/>
      </c>
      <c r="AG307" s="2">
        <f>IF(A307="","",COUNTIF(Activities!$B:$B,A307))</f>
        <v/>
      </c>
      <c r="BG307" s="2">
        <f>IF(COUNTA(BH307:BK307)=0,"",ROUND(AVERAGE(BH307:BK307),0))</f>
        <v/>
      </c>
      <c r="BH307" s="2">
        <f>IF(BL307="","",IF(BL307&gt;=90,"HOT",IF(BL307&gt;=75,"HIGH",IF(BL307&gt;=50,"MEDIUM","LOW"))))</f>
        <v/>
      </c>
      <c r="BL307" s="2">
        <f>IFERROR(BN307/12,"")</f>
        <v/>
      </c>
      <c r="BP307" s="15" t="n"/>
    </row>
    <row r="308" ht="15.75" customHeight="1" s="19">
      <c r="AD308" s="13" t="n"/>
      <c r="AE308" s="13">
        <f>IF(A308="","",IFERROR(MAXIFS(Activities!$D:$D,Activities!$B:$B,A308),""))</f>
        <v/>
      </c>
      <c r="AF308" s="13">
        <f>IF(A308="","",IFERROR(MINIFS(Follow_Ups!$G:$G,Follow_Ups!$B:$B,A308,Follow_Ups!$H:$H,"&lt;&gt;Completed",Follow_Ups!$G:$G,"&gt;="&amp;TODAY()),""))</f>
        <v/>
      </c>
      <c r="AG308" s="2">
        <f>IF(A308="","",COUNTIF(Activities!$B:$B,A308))</f>
        <v/>
      </c>
      <c r="BG308" s="2">
        <f>IF(COUNTA(BH308:BK308)=0,"",ROUND(AVERAGE(BH308:BK308),0))</f>
        <v/>
      </c>
      <c r="BH308" s="2">
        <f>IF(BL308="","",IF(BL308&gt;=90,"HOT",IF(BL308&gt;=75,"HIGH",IF(BL308&gt;=50,"MEDIUM","LOW"))))</f>
        <v/>
      </c>
      <c r="BL308" s="2">
        <f>IFERROR(BN308/12,"")</f>
        <v/>
      </c>
      <c r="BP308" s="15" t="n"/>
    </row>
    <row r="309" ht="15.75" customHeight="1" s="19">
      <c r="AD309" s="13" t="n"/>
      <c r="AE309" s="13">
        <f>IF(A309="","",IFERROR(MAXIFS(Activities!$D:$D,Activities!$B:$B,A309),""))</f>
        <v/>
      </c>
      <c r="AF309" s="13">
        <f>IF(A309="","",IFERROR(MINIFS(Follow_Ups!$G:$G,Follow_Ups!$B:$B,A309,Follow_Ups!$H:$H,"&lt;&gt;Completed",Follow_Ups!$G:$G,"&gt;="&amp;TODAY()),""))</f>
        <v/>
      </c>
      <c r="AG309" s="2">
        <f>IF(A309="","",COUNTIF(Activities!$B:$B,A309))</f>
        <v/>
      </c>
      <c r="BG309" s="2">
        <f>IF(COUNTA(BH309:BK309)=0,"",ROUND(AVERAGE(BH309:BK309),0))</f>
        <v/>
      </c>
      <c r="BH309" s="2">
        <f>IF(BL309="","",IF(BL309&gt;=90,"HOT",IF(BL309&gt;=75,"HIGH",IF(BL309&gt;=50,"MEDIUM","LOW"))))</f>
        <v/>
      </c>
      <c r="BL309" s="2">
        <f>IFERROR(BN309/12,"")</f>
        <v/>
      </c>
      <c r="BP309" s="15" t="n"/>
    </row>
    <row r="310" ht="15.75" customHeight="1" s="19">
      <c r="AD310" s="13" t="n"/>
      <c r="AE310" s="13">
        <f>IF(A310="","",IFERROR(MAXIFS(Activities!$D:$D,Activities!$B:$B,A310),""))</f>
        <v/>
      </c>
      <c r="AF310" s="13">
        <f>IF(A310="","",IFERROR(MINIFS(Follow_Ups!$G:$G,Follow_Ups!$B:$B,A310,Follow_Ups!$H:$H,"&lt;&gt;Completed",Follow_Ups!$G:$G,"&gt;="&amp;TODAY()),""))</f>
        <v/>
      </c>
      <c r="AG310" s="2">
        <f>IF(A310="","",COUNTIF(Activities!$B:$B,A310))</f>
        <v/>
      </c>
      <c r="BG310" s="2">
        <f>IF(COUNTA(BH310:BK310)=0,"",ROUND(AVERAGE(BH310:BK310),0))</f>
        <v/>
      </c>
      <c r="BH310" s="2">
        <f>IF(BL310="","",IF(BL310&gt;=90,"HOT",IF(BL310&gt;=75,"HIGH",IF(BL310&gt;=50,"MEDIUM","LOW"))))</f>
        <v/>
      </c>
      <c r="BL310" s="2">
        <f>IFERROR(BN310/12,"")</f>
        <v/>
      </c>
      <c r="BP310" s="15" t="n"/>
    </row>
    <row r="311" ht="15.75" customHeight="1" s="19">
      <c r="AD311" s="13" t="n"/>
      <c r="AE311" s="13">
        <f>IF(A311="","",IFERROR(MAXIFS(Activities!$D:$D,Activities!$B:$B,A311),""))</f>
        <v/>
      </c>
      <c r="AF311" s="13">
        <f>IF(A311="","",IFERROR(MINIFS(Follow_Ups!$G:$G,Follow_Ups!$B:$B,A311,Follow_Ups!$H:$H,"&lt;&gt;Completed",Follow_Ups!$G:$G,"&gt;="&amp;TODAY()),""))</f>
        <v/>
      </c>
      <c r="AG311" s="2">
        <f>IF(A311="","",COUNTIF(Activities!$B:$B,A311))</f>
        <v/>
      </c>
      <c r="BG311" s="2">
        <f>IF(COUNTA(BH311:BK311)=0,"",ROUND(AVERAGE(BH311:BK311),0))</f>
        <v/>
      </c>
      <c r="BH311" s="2">
        <f>IF(BL311="","",IF(BL311&gt;=90,"HOT",IF(BL311&gt;=75,"HIGH",IF(BL311&gt;=50,"MEDIUM","LOW"))))</f>
        <v/>
      </c>
      <c r="BL311" s="2">
        <f>IFERROR(BN311/12,"")</f>
        <v/>
      </c>
      <c r="BP311" s="15" t="n"/>
    </row>
    <row r="312" ht="15.75" customHeight="1" s="19">
      <c r="AD312" s="13" t="n"/>
      <c r="AE312" s="13">
        <f>IF(A312="","",IFERROR(MAXIFS(Activities!$D:$D,Activities!$B:$B,A312),""))</f>
        <v/>
      </c>
      <c r="AF312" s="13">
        <f>IF(A312="","",IFERROR(MINIFS(Follow_Ups!$G:$G,Follow_Ups!$B:$B,A312,Follow_Ups!$H:$H,"&lt;&gt;Completed",Follow_Ups!$G:$G,"&gt;="&amp;TODAY()),""))</f>
        <v/>
      </c>
      <c r="AG312" s="2">
        <f>IF(A312="","",COUNTIF(Activities!$B:$B,A312))</f>
        <v/>
      </c>
      <c r="BG312" s="2">
        <f>IF(COUNTA(BH312:BK312)=0,"",ROUND(AVERAGE(BH312:BK312),0))</f>
        <v/>
      </c>
      <c r="BH312" s="2">
        <f>IF(BL312="","",IF(BL312&gt;=90,"HOT",IF(BL312&gt;=75,"HIGH",IF(BL312&gt;=50,"MEDIUM","LOW"))))</f>
        <v/>
      </c>
      <c r="BL312" s="2">
        <f>IFERROR(BN312/12,"")</f>
        <v/>
      </c>
      <c r="BP312" s="15" t="n"/>
    </row>
    <row r="313" ht="15.75" customHeight="1" s="19">
      <c r="AD313" s="13" t="n"/>
      <c r="AE313" s="13">
        <f>IF(A313="","",IFERROR(MAXIFS(Activities!$D:$D,Activities!$B:$B,A313),""))</f>
        <v/>
      </c>
      <c r="AF313" s="13">
        <f>IF(A313="","",IFERROR(MINIFS(Follow_Ups!$G:$G,Follow_Ups!$B:$B,A313,Follow_Ups!$H:$H,"&lt;&gt;Completed",Follow_Ups!$G:$G,"&gt;="&amp;TODAY()),""))</f>
        <v/>
      </c>
      <c r="AG313" s="2">
        <f>IF(A313="","",COUNTIF(Activities!$B:$B,A313))</f>
        <v/>
      </c>
      <c r="BG313" s="2">
        <f>IF(COUNTA(BH313:BK313)=0,"",ROUND(AVERAGE(BH313:BK313),0))</f>
        <v/>
      </c>
      <c r="BH313" s="2">
        <f>IF(BL313="","",IF(BL313&gt;=90,"HOT",IF(BL313&gt;=75,"HIGH",IF(BL313&gt;=50,"MEDIUM","LOW"))))</f>
        <v/>
      </c>
      <c r="BL313" s="2">
        <f>IFERROR(BN313/12,"")</f>
        <v/>
      </c>
      <c r="BP313" s="15" t="n"/>
    </row>
    <row r="314" ht="15.75" customHeight="1" s="19">
      <c r="AD314" s="13" t="n"/>
      <c r="AE314" s="13">
        <f>IF(A314="","",IFERROR(MAXIFS(Activities!$D:$D,Activities!$B:$B,A314),""))</f>
        <v/>
      </c>
      <c r="AF314" s="13">
        <f>IF(A314="","",IFERROR(MINIFS(Follow_Ups!$G:$G,Follow_Ups!$B:$B,A314,Follow_Ups!$H:$H,"&lt;&gt;Completed",Follow_Ups!$G:$G,"&gt;="&amp;TODAY()),""))</f>
        <v/>
      </c>
      <c r="AG314" s="2">
        <f>IF(A314="","",COUNTIF(Activities!$B:$B,A314))</f>
        <v/>
      </c>
      <c r="BG314" s="2">
        <f>IF(COUNTA(BH314:BK314)=0,"",ROUND(AVERAGE(BH314:BK314),0))</f>
        <v/>
      </c>
      <c r="BH314" s="2">
        <f>IF(BL314="","",IF(BL314&gt;=90,"HOT",IF(BL314&gt;=75,"HIGH",IF(BL314&gt;=50,"MEDIUM","LOW"))))</f>
        <v/>
      </c>
      <c r="BL314" s="2">
        <f>IFERROR(BN314/12,"")</f>
        <v/>
      </c>
      <c r="BP314" s="15" t="n"/>
    </row>
    <row r="315" ht="15.75" customHeight="1" s="19">
      <c r="AD315" s="13" t="n"/>
      <c r="AE315" s="13">
        <f>IF(A315="","",IFERROR(MAXIFS(Activities!$D:$D,Activities!$B:$B,A315),""))</f>
        <v/>
      </c>
      <c r="AF315" s="13">
        <f>IF(A315="","",IFERROR(MINIFS(Follow_Ups!$G:$G,Follow_Ups!$B:$B,A315,Follow_Ups!$H:$H,"&lt;&gt;Completed",Follow_Ups!$G:$G,"&gt;="&amp;TODAY()),""))</f>
        <v/>
      </c>
      <c r="AG315" s="2">
        <f>IF(A315="","",COUNTIF(Activities!$B:$B,A315))</f>
        <v/>
      </c>
      <c r="BG315" s="2">
        <f>IF(COUNTA(BH315:BK315)=0,"",ROUND(AVERAGE(BH315:BK315),0))</f>
        <v/>
      </c>
      <c r="BH315" s="2">
        <f>IF(BL315="","",IF(BL315&gt;=90,"HOT",IF(BL315&gt;=75,"HIGH",IF(BL315&gt;=50,"MEDIUM","LOW"))))</f>
        <v/>
      </c>
      <c r="BL315" s="2">
        <f>IFERROR(BN315/12,"")</f>
        <v/>
      </c>
      <c r="BP315" s="15" t="n"/>
    </row>
    <row r="316" ht="15.75" customHeight="1" s="19">
      <c r="AD316" s="13" t="n"/>
      <c r="AE316" s="13">
        <f>IF(A316="","",IFERROR(MAXIFS(Activities!$D:$D,Activities!$B:$B,A316),""))</f>
        <v/>
      </c>
      <c r="AF316" s="13">
        <f>IF(A316="","",IFERROR(MINIFS(Follow_Ups!$G:$G,Follow_Ups!$B:$B,A316,Follow_Ups!$H:$H,"&lt;&gt;Completed",Follow_Ups!$G:$G,"&gt;="&amp;TODAY()),""))</f>
        <v/>
      </c>
      <c r="AG316" s="2">
        <f>IF(A316="","",COUNTIF(Activities!$B:$B,A316))</f>
        <v/>
      </c>
      <c r="BG316" s="2">
        <f>IF(COUNTA(BH316:BK316)=0,"",ROUND(AVERAGE(BH316:BK316),0))</f>
        <v/>
      </c>
      <c r="BH316" s="2">
        <f>IF(BL316="","",IF(BL316&gt;=90,"HOT",IF(BL316&gt;=75,"HIGH",IF(BL316&gt;=50,"MEDIUM","LOW"))))</f>
        <v/>
      </c>
      <c r="BL316" s="2">
        <f>IFERROR(BN316/12,"")</f>
        <v/>
      </c>
      <c r="BP316" s="15" t="n"/>
    </row>
    <row r="317" ht="15.75" customHeight="1" s="19">
      <c r="AD317" s="13" t="n"/>
      <c r="AE317" s="13">
        <f>IF(A317="","",IFERROR(MAXIFS(Activities!$D:$D,Activities!$B:$B,A317),""))</f>
        <v/>
      </c>
      <c r="AF317" s="13">
        <f>IF(A317="","",IFERROR(MINIFS(Follow_Ups!$G:$G,Follow_Ups!$B:$B,A317,Follow_Ups!$H:$H,"&lt;&gt;Completed",Follow_Ups!$G:$G,"&gt;="&amp;TODAY()),""))</f>
        <v/>
      </c>
      <c r="AG317" s="2">
        <f>IF(A317="","",COUNTIF(Activities!$B:$B,A317))</f>
        <v/>
      </c>
      <c r="BG317" s="2">
        <f>IF(COUNTA(BH317:BK317)=0,"",ROUND(AVERAGE(BH317:BK317),0))</f>
        <v/>
      </c>
      <c r="BH317" s="2">
        <f>IF(BL317="","",IF(BL317&gt;=90,"HOT",IF(BL317&gt;=75,"HIGH",IF(BL317&gt;=50,"MEDIUM","LOW"))))</f>
        <v/>
      </c>
      <c r="BL317" s="2">
        <f>IFERROR(BN317/12,"")</f>
        <v/>
      </c>
      <c r="BP317" s="15" t="n"/>
    </row>
    <row r="318" ht="15.75" customHeight="1" s="19">
      <c r="AD318" s="13" t="n"/>
      <c r="AE318" s="13">
        <f>IF(A318="","",IFERROR(MAXIFS(Activities!$D:$D,Activities!$B:$B,A318),""))</f>
        <v/>
      </c>
      <c r="AF318" s="13">
        <f>IF(A318="","",IFERROR(MINIFS(Follow_Ups!$G:$G,Follow_Ups!$B:$B,A318,Follow_Ups!$H:$H,"&lt;&gt;Completed",Follow_Ups!$G:$G,"&gt;="&amp;TODAY()),""))</f>
        <v/>
      </c>
      <c r="AG318" s="2">
        <f>IF(A318="","",COUNTIF(Activities!$B:$B,A318))</f>
        <v/>
      </c>
      <c r="BG318" s="2">
        <f>IF(COUNTA(BH318:BK318)=0,"",ROUND(AVERAGE(BH318:BK318),0))</f>
        <v/>
      </c>
      <c r="BH318" s="2">
        <f>IF(BL318="","",IF(BL318&gt;=90,"HOT",IF(BL318&gt;=75,"HIGH",IF(BL318&gt;=50,"MEDIUM","LOW"))))</f>
        <v/>
      </c>
      <c r="BL318" s="2">
        <f>IFERROR(BN318/12,"")</f>
        <v/>
      </c>
      <c r="BP318" s="15" t="n"/>
    </row>
    <row r="319" ht="15.75" customHeight="1" s="19">
      <c r="AD319" s="13" t="n"/>
      <c r="AE319" s="13">
        <f>IF(A319="","",IFERROR(MAXIFS(Activities!$D:$D,Activities!$B:$B,A319),""))</f>
        <v/>
      </c>
      <c r="AF319" s="13">
        <f>IF(A319="","",IFERROR(MINIFS(Follow_Ups!$G:$G,Follow_Ups!$B:$B,A319,Follow_Ups!$H:$H,"&lt;&gt;Completed",Follow_Ups!$G:$G,"&gt;="&amp;TODAY()),""))</f>
        <v/>
      </c>
      <c r="AG319" s="2">
        <f>IF(A319="","",COUNTIF(Activities!$B:$B,A319))</f>
        <v/>
      </c>
      <c r="BG319" s="2">
        <f>IF(COUNTA(BH319:BK319)=0,"",ROUND(AVERAGE(BH319:BK319),0))</f>
        <v/>
      </c>
      <c r="BH319" s="2">
        <f>IF(BL319="","",IF(BL319&gt;=90,"HOT",IF(BL319&gt;=75,"HIGH",IF(BL319&gt;=50,"MEDIUM","LOW"))))</f>
        <v/>
      </c>
      <c r="BL319" s="2">
        <f>IFERROR(BN319/12,"")</f>
        <v/>
      </c>
      <c r="BP319" s="15" t="n"/>
    </row>
    <row r="320" ht="15.75" customHeight="1" s="19">
      <c r="AD320" s="13" t="n"/>
      <c r="AE320" s="13">
        <f>IF(A320="","",IFERROR(MAXIFS(Activities!$D:$D,Activities!$B:$B,A320),""))</f>
        <v/>
      </c>
      <c r="AF320" s="13">
        <f>IF(A320="","",IFERROR(MINIFS(Follow_Ups!$G:$G,Follow_Ups!$B:$B,A320,Follow_Ups!$H:$H,"&lt;&gt;Completed",Follow_Ups!$G:$G,"&gt;="&amp;TODAY()),""))</f>
        <v/>
      </c>
      <c r="AG320" s="2">
        <f>IF(A320="","",COUNTIF(Activities!$B:$B,A320))</f>
        <v/>
      </c>
      <c r="BG320" s="2">
        <f>IF(COUNTA(BH320:BK320)=0,"",ROUND(AVERAGE(BH320:BK320),0))</f>
        <v/>
      </c>
      <c r="BH320" s="2">
        <f>IF(BL320="","",IF(BL320&gt;=90,"HOT",IF(BL320&gt;=75,"HIGH",IF(BL320&gt;=50,"MEDIUM","LOW"))))</f>
        <v/>
      </c>
      <c r="BL320" s="2">
        <f>IFERROR(BN320/12,"")</f>
        <v/>
      </c>
      <c r="BP320" s="15" t="n"/>
    </row>
    <row r="321" ht="15.75" customHeight="1" s="19">
      <c r="AD321" s="13" t="n"/>
      <c r="AE321" s="13">
        <f>IF(A321="","",IFERROR(MAXIFS(Activities!$D:$D,Activities!$B:$B,A321),""))</f>
        <v/>
      </c>
      <c r="AF321" s="13">
        <f>IF(A321="","",IFERROR(MINIFS(Follow_Ups!$G:$G,Follow_Ups!$B:$B,A321,Follow_Ups!$H:$H,"&lt;&gt;Completed",Follow_Ups!$G:$G,"&gt;="&amp;TODAY()),""))</f>
        <v/>
      </c>
      <c r="AG321" s="2">
        <f>IF(A321="","",COUNTIF(Activities!$B:$B,A321))</f>
        <v/>
      </c>
      <c r="BG321" s="2">
        <f>IF(COUNTA(BH321:BK321)=0,"",ROUND(AVERAGE(BH321:BK321),0))</f>
        <v/>
      </c>
      <c r="BH321" s="2">
        <f>IF(BL321="","",IF(BL321&gt;=90,"HOT",IF(BL321&gt;=75,"HIGH",IF(BL321&gt;=50,"MEDIUM","LOW"))))</f>
        <v/>
      </c>
      <c r="BL321" s="2">
        <f>IFERROR(BN321/12,"")</f>
        <v/>
      </c>
      <c r="BP321" s="15" t="n"/>
    </row>
    <row r="322" ht="15.75" customHeight="1" s="19">
      <c r="AD322" s="13" t="n"/>
      <c r="AE322" s="13">
        <f>IF(A322="","",IFERROR(MAXIFS(Activities!$D:$D,Activities!$B:$B,A322),""))</f>
        <v/>
      </c>
      <c r="AF322" s="13">
        <f>IF(A322="","",IFERROR(MINIFS(Follow_Ups!$G:$G,Follow_Ups!$B:$B,A322,Follow_Ups!$H:$H,"&lt;&gt;Completed",Follow_Ups!$G:$G,"&gt;="&amp;TODAY()),""))</f>
        <v/>
      </c>
      <c r="AG322" s="2">
        <f>IF(A322="","",COUNTIF(Activities!$B:$B,A322))</f>
        <v/>
      </c>
      <c r="BG322" s="2">
        <f>IF(COUNTA(BH322:BK322)=0,"",ROUND(AVERAGE(BH322:BK322),0))</f>
        <v/>
      </c>
      <c r="BH322" s="2">
        <f>IF(BL322="","",IF(BL322&gt;=90,"HOT",IF(BL322&gt;=75,"HIGH",IF(BL322&gt;=50,"MEDIUM","LOW"))))</f>
        <v/>
      </c>
      <c r="BL322" s="2">
        <f>IFERROR(BN322/12,"")</f>
        <v/>
      </c>
      <c r="BP322" s="15" t="n"/>
    </row>
    <row r="323" ht="15.75" customHeight="1" s="19">
      <c r="AD323" s="13" t="n"/>
      <c r="AE323" s="13">
        <f>IF(A323="","",IFERROR(MAXIFS(Activities!$D:$D,Activities!$B:$B,A323),""))</f>
        <v/>
      </c>
      <c r="AF323" s="13">
        <f>IF(A323="","",IFERROR(MINIFS(Follow_Ups!$G:$G,Follow_Ups!$B:$B,A323,Follow_Ups!$H:$H,"&lt;&gt;Completed",Follow_Ups!$G:$G,"&gt;="&amp;TODAY()),""))</f>
        <v/>
      </c>
      <c r="AG323" s="2">
        <f>IF(A323="","",COUNTIF(Activities!$B:$B,A323))</f>
        <v/>
      </c>
      <c r="BG323" s="2">
        <f>IF(COUNTA(BH323:BK323)=0,"",ROUND(AVERAGE(BH323:BK323),0))</f>
        <v/>
      </c>
      <c r="BH323" s="2">
        <f>IF(BL323="","",IF(BL323&gt;=90,"HOT",IF(BL323&gt;=75,"HIGH",IF(BL323&gt;=50,"MEDIUM","LOW"))))</f>
        <v/>
      </c>
      <c r="BL323" s="2">
        <f>IFERROR(BN323/12,"")</f>
        <v/>
      </c>
      <c r="BP323" s="15" t="n"/>
    </row>
    <row r="324" ht="15.75" customHeight="1" s="19">
      <c r="AD324" s="13" t="n"/>
      <c r="AE324" s="13">
        <f>IF(A324="","",IFERROR(MAXIFS(Activities!$D:$D,Activities!$B:$B,A324),""))</f>
        <v/>
      </c>
      <c r="AF324" s="13">
        <f>IF(A324="","",IFERROR(MINIFS(Follow_Ups!$G:$G,Follow_Ups!$B:$B,A324,Follow_Ups!$H:$H,"&lt;&gt;Completed",Follow_Ups!$G:$G,"&gt;="&amp;TODAY()),""))</f>
        <v/>
      </c>
      <c r="AG324" s="2">
        <f>IF(A324="","",COUNTIF(Activities!$B:$B,A324))</f>
        <v/>
      </c>
      <c r="BG324" s="2">
        <f>IF(COUNTA(BH324:BK324)=0,"",ROUND(AVERAGE(BH324:BK324),0))</f>
        <v/>
      </c>
      <c r="BH324" s="2">
        <f>IF(BL324="","",IF(BL324&gt;=90,"HOT",IF(BL324&gt;=75,"HIGH",IF(BL324&gt;=50,"MEDIUM","LOW"))))</f>
        <v/>
      </c>
      <c r="BL324" s="2">
        <f>IFERROR(BN324/12,"")</f>
        <v/>
      </c>
      <c r="BP324" s="15" t="n"/>
    </row>
    <row r="325" ht="15.75" customHeight="1" s="19">
      <c r="AD325" s="13" t="n"/>
      <c r="AE325" s="13">
        <f>IF(A325="","",IFERROR(MAXIFS(Activities!$D:$D,Activities!$B:$B,A325),""))</f>
        <v/>
      </c>
      <c r="AF325" s="13">
        <f>IF(A325="","",IFERROR(MINIFS(Follow_Ups!$G:$G,Follow_Ups!$B:$B,A325,Follow_Ups!$H:$H,"&lt;&gt;Completed",Follow_Ups!$G:$G,"&gt;="&amp;TODAY()),""))</f>
        <v/>
      </c>
      <c r="AG325" s="2">
        <f>IF(A325="","",COUNTIF(Activities!$B:$B,A325))</f>
        <v/>
      </c>
      <c r="BG325" s="2">
        <f>IF(COUNTA(BH325:BK325)=0,"",ROUND(AVERAGE(BH325:BK325),0))</f>
        <v/>
      </c>
      <c r="BH325" s="2">
        <f>IF(BL325="","",IF(BL325&gt;=90,"HOT",IF(BL325&gt;=75,"HIGH",IF(BL325&gt;=50,"MEDIUM","LOW"))))</f>
        <v/>
      </c>
      <c r="BL325" s="2">
        <f>IFERROR(BN325/12,"")</f>
        <v/>
      </c>
      <c r="BP325" s="15" t="n"/>
    </row>
    <row r="326" ht="15.75" customHeight="1" s="19">
      <c r="AD326" s="13" t="n"/>
      <c r="AE326" s="13">
        <f>IF(A326="","",IFERROR(MAXIFS(Activities!$D:$D,Activities!$B:$B,A326),""))</f>
        <v/>
      </c>
      <c r="AF326" s="13">
        <f>IF(A326="","",IFERROR(MINIFS(Follow_Ups!$G:$G,Follow_Ups!$B:$B,A326,Follow_Ups!$H:$H,"&lt;&gt;Completed",Follow_Ups!$G:$G,"&gt;="&amp;TODAY()),""))</f>
        <v/>
      </c>
      <c r="AG326" s="2">
        <f>IF(A326="","",COUNTIF(Activities!$B:$B,A326))</f>
        <v/>
      </c>
      <c r="BG326" s="2">
        <f>IF(COUNTA(BH326:BK326)=0,"",ROUND(AVERAGE(BH326:BK326),0))</f>
        <v/>
      </c>
      <c r="BH326" s="2">
        <f>IF(BL326="","",IF(BL326&gt;=90,"HOT",IF(BL326&gt;=75,"HIGH",IF(BL326&gt;=50,"MEDIUM","LOW"))))</f>
        <v/>
      </c>
      <c r="BL326" s="2">
        <f>IFERROR(BN326/12,"")</f>
        <v/>
      </c>
      <c r="BP326" s="15" t="n"/>
    </row>
    <row r="327" ht="15.75" customHeight="1" s="19">
      <c r="AD327" s="13" t="n"/>
      <c r="AE327" s="13">
        <f>IF(A327="","",IFERROR(MAXIFS(Activities!$D:$D,Activities!$B:$B,A327),""))</f>
        <v/>
      </c>
      <c r="AF327" s="13">
        <f>IF(A327="","",IFERROR(MINIFS(Follow_Ups!$G:$G,Follow_Ups!$B:$B,A327,Follow_Ups!$H:$H,"&lt;&gt;Completed",Follow_Ups!$G:$G,"&gt;="&amp;TODAY()),""))</f>
        <v/>
      </c>
      <c r="AG327" s="2">
        <f>IF(A327="","",COUNTIF(Activities!$B:$B,A327))</f>
        <v/>
      </c>
      <c r="BG327" s="2">
        <f>IF(COUNTA(BH327:BK327)=0,"",ROUND(AVERAGE(BH327:BK327),0))</f>
        <v/>
      </c>
      <c r="BH327" s="2">
        <f>IF(BL327="","",IF(BL327&gt;=90,"HOT",IF(BL327&gt;=75,"HIGH",IF(BL327&gt;=50,"MEDIUM","LOW"))))</f>
        <v/>
      </c>
      <c r="BL327" s="2">
        <f>IFERROR(BN327/12,"")</f>
        <v/>
      </c>
      <c r="BP327" s="15" t="n"/>
    </row>
    <row r="328" ht="15.75" customHeight="1" s="19">
      <c r="AD328" s="13" t="n"/>
      <c r="AE328" s="13">
        <f>IF(A328="","",IFERROR(MAXIFS(Activities!$D:$D,Activities!$B:$B,A328),""))</f>
        <v/>
      </c>
      <c r="AF328" s="13">
        <f>IF(A328="","",IFERROR(MINIFS(Follow_Ups!$G:$G,Follow_Ups!$B:$B,A328,Follow_Ups!$H:$H,"&lt;&gt;Completed",Follow_Ups!$G:$G,"&gt;="&amp;TODAY()),""))</f>
        <v/>
      </c>
      <c r="AG328" s="2">
        <f>IF(A328="","",COUNTIF(Activities!$B:$B,A328))</f>
        <v/>
      </c>
      <c r="BG328" s="2">
        <f>IF(COUNTA(BH328:BK328)=0,"",ROUND(AVERAGE(BH328:BK328),0))</f>
        <v/>
      </c>
      <c r="BH328" s="2">
        <f>IF(BL328="","",IF(BL328&gt;=90,"HOT",IF(BL328&gt;=75,"HIGH",IF(BL328&gt;=50,"MEDIUM","LOW"))))</f>
        <v/>
      </c>
      <c r="BL328" s="2">
        <f>IFERROR(BN328/12,"")</f>
        <v/>
      </c>
      <c r="BP328" s="15" t="n"/>
    </row>
    <row r="329" ht="15.75" customHeight="1" s="19">
      <c r="AD329" s="13" t="n"/>
      <c r="AE329" s="13">
        <f>IF(A329="","",IFERROR(MAXIFS(Activities!$D:$D,Activities!$B:$B,A329),""))</f>
        <v/>
      </c>
      <c r="AF329" s="13">
        <f>IF(A329="","",IFERROR(MINIFS(Follow_Ups!$G:$G,Follow_Ups!$B:$B,A329,Follow_Ups!$H:$H,"&lt;&gt;Completed",Follow_Ups!$G:$G,"&gt;="&amp;TODAY()),""))</f>
        <v/>
      </c>
      <c r="AG329" s="2">
        <f>IF(A329="","",COUNTIF(Activities!$B:$B,A329))</f>
        <v/>
      </c>
      <c r="BG329" s="2">
        <f>IF(COUNTA(BH329:BK329)=0,"",ROUND(AVERAGE(BH329:BK329),0))</f>
        <v/>
      </c>
      <c r="BH329" s="2">
        <f>IF(BL329="","",IF(BL329&gt;=90,"HOT",IF(BL329&gt;=75,"HIGH",IF(BL329&gt;=50,"MEDIUM","LOW"))))</f>
        <v/>
      </c>
      <c r="BL329" s="2">
        <f>IFERROR(BN329/12,"")</f>
        <v/>
      </c>
      <c r="BP329" s="15" t="n"/>
    </row>
    <row r="330" ht="15.75" customHeight="1" s="19">
      <c r="AD330" s="13" t="n"/>
      <c r="AE330" s="13">
        <f>IF(A330="","",IFERROR(MAXIFS(Activities!$D:$D,Activities!$B:$B,A330),""))</f>
        <v/>
      </c>
      <c r="AF330" s="13">
        <f>IF(A330="","",IFERROR(MINIFS(Follow_Ups!$G:$G,Follow_Ups!$B:$B,A330,Follow_Ups!$H:$H,"&lt;&gt;Completed",Follow_Ups!$G:$G,"&gt;="&amp;TODAY()),""))</f>
        <v/>
      </c>
      <c r="AG330" s="2">
        <f>IF(A330="","",COUNTIF(Activities!$B:$B,A330))</f>
        <v/>
      </c>
      <c r="BG330" s="2">
        <f>IF(COUNTA(BH330:BK330)=0,"",ROUND(AVERAGE(BH330:BK330),0))</f>
        <v/>
      </c>
      <c r="BH330" s="2">
        <f>IF(BL330="","",IF(BL330&gt;=90,"HOT",IF(BL330&gt;=75,"HIGH",IF(BL330&gt;=50,"MEDIUM","LOW"))))</f>
        <v/>
      </c>
      <c r="BL330" s="2">
        <f>IFERROR(BN330/12,"")</f>
        <v/>
      </c>
      <c r="BP330" s="15" t="n"/>
    </row>
    <row r="331" ht="15.75" customHeight="1" s="19">
      <c r="AD331" s="13" t="n"/>
      <c r="AE331" s="13">
        <f>IF(A331="","",IFERROR(MAXIFS(Activities!$D:$D,Activities!$B:$B,A331),""))</f>
        <v/>
      </c>
      <c r="AF331" s="13">
        <f>IF(A331="","",IFERROR(MINIFS(Follow_Ups!$G:$G,Follow_Ups!$B:$B,A331,Follow_Ups!$H:$H,"&lt;&gt;Completed",Follow_Ups!$G:$G,"&gt;="&amp;TODAY()),""))</f>
        <v/>
      </c>
      <c r="AG331" s="2">
        <f>IF(A331="","",COUNTIF(Activities!$B:$B,A331))</f>
        <v/>
      </c>
      <c r="BG331" s="2">
        <f>IF(COUNTA(BH331:BK331)=0,"",ROUND(AVERAGE(BH331:BK331),0))</f>
        <v/>
      </c>
      <c r="BH331" s="2">
        <f>IF(BL331="","",IF(BL331&gt;=90,"HOT",IF(BL331&gt;=75,"HIGH",IF(BL331&gt;=50,"MEDIUM","LOW"))))</f>
        <v/>
      </c>
      <c r="BL331" s="2">
        <f>IFERROR(BN331/12,"")</f>
        <v/>
      </c>
      <c r="BP331" s="15" t="n"/>
    </row>
    <row r="332" ht="15.75" customHeight="1" s="19">
      <c r="AD332" s="13" t="n"/>
      <c r="AE332" s="13">
        <f>IF(A332="","",IFERROR(MAXIFS(Activities!$D:$D,Activities!$B:$B,A332),""))</f>
        <v/>
      </c>
      <c r="AF332" s="13">
        <f>IF(A332="","",IFERROR(MINIFS(Follow_Ups!$G:$G,Follow_Ups!$B:$B,A332,Follow_Ups!$H:$H,"&lt;&gt;Completed",Follow_Ups!$G:$G,"&gt;="&amp;TODAY()),""))</f>
        <v/>
      </c>
      <c r="AG332" s="2">
        <f>IF(A332="","",COUNTIF(Activities!$B:$B,A332))</f>
        <v/>
      </c>
      <c r="BG332" s="2">
        <f>IF(COUNTA(BH332:BK332)=0,"",ROUND(AVERAGE(BH332:BK332),0))</f>
        <v/>
      </c>
      <c r="BH332" s="2">
        <f>IF(BL332="","",IF(BL332&gt;=90,"HOT",IF(BL332&gt;=75,"HIGH",IF(BL332&gt;=50,"MEDIUM","LOW"))))</f>
        <v/>
      </c>
      <c r="BL332" s="2">
        <f>IFERROR(BN332/12,"")</f>
        <v/>
      </c>
      <c r="BP332" s="15" t="n"/>
    </row>
    <row r="333" ht="15.75" customHeight="1" s="19">
      <c r="AD333" s="13" t="n"/>
      <c r="AE333" s="13">
        <f>IF(A333="","",IFERROR(MAXIFS(Activities!$D:$D,Activities!$B:$B,A333),""))</f>
        <v/>
      </c>
      <c r="AF333" s="13">
        <f>IF(A333="","",IFERROR(MINIFS(Follow_Ups!$G:$G,Follow_Ups!$B:$B,A333,Follow_Ups!$H:$H,"&lt;&gt;Completed",Follow_Ups!$G:$G,"&gt;="&amp;TODAY()),""))</f>
        <v/>
      </c>
      <c r="AG333" s="2">
        <f>IF(A333="","",COUNTIF(Activities!$B:$B,A333))</f>
        <v/>
      </c>
      <c r="BG333" s="2">
        <f>IF(COUNTA(BH333:BK333)=0,"",ROUND(AVERAGE(BH333:BK333),0))</f>
        <v/>
      </c>
      <c r="BH333" s="2">
        <f>IF(BL333="","",IF(BL333&gt;=90,"HOT",IF(BL333&gt;=75,"HIGH",IF(BL333&gt;=50,"MEDIUM","LOW"))))</f>
        <v/>
      </c>
      <c r="BL333" s="2">
        <f>IFERROR(BN333/12,"")</f>
        <v/>
      </c>
      <c r="BP333" s="15" t="n"/>
    </row>
    <row r="334" ht="15.75" customHeight="1" s="19">
      <c r="AD334" s="13" t="n"/>
      <c r="AE334" s="13">
        <f>IF(A334="","",IFERROR(MAXIFS(Activities!$D:$D,Activities!$B:$B,A334),""))</f>
        <v/>
      </c>
      <c r="AF334" s="13">
        <f>IF(A334="","",IFERROR(MINIFS(Follow_Ups!$G:$G,Follow_Ups!$B:$B,A334,Follow_Ups!$H:$H,"&lt;&gt;Completed",Follow_Ups!$G:$G,"&gt;="&amp;TODAY()),""))</f>
        <v/>
      </c>
      <c r="AG334" s="2">
        <f>IF(A334="","",COUNTIF(Activities!$B:$B,A334))</f>
        <v/>
      </c>
      <c r="BG334" s="2">
        <f>IF(COUNTA(BH334:BK334)=0,"",ROUND(AVERAGE(BH334:BK334),0))</f>
        <v/>
      </c>
      <c r="BH334" s="2">
        <f>IF(BL334="","",IF(BL334&gt;=90,"HOT",IF(BL334&gt;=75,"HIGH",IF(BL334&gt;=50,"MEDIUM","LOW"))))</f>
        <v/>
      </c>
      <c r="BL334" s="2">
        <f>IFERROR(BN334/12,"")</f>
        <v/>
      </c>
      <c r="BP334" s="15" t="n"/>
    </row>
    <row r="335" ht="15.75" customHeight="1" s="19">
      <c r="AD335" s="13" t="n"/>
      <c r="AE335" s="13">
        <f>IF(A335="","",IFERROR(MAXIFS(Activities!$D:$D,Activities!$B:$B,A335),""))</f>
        <v/>
      </c>
      <c r="AF335" s="13">
        <f>IF(A335="","",IFERROR(MINIFS(Follow_Ups!$G:$G,Follow_Ups!$B:$B,A335,Follow_Ups!$H:$H,"&lt;&gt;Completed",Follow_Ups!$G:$G,"&gt;="&amp;TODAY()),""))</f>
        <v/>
      </c>
      <c r="AG335" s="2">
        <f>IF(A335="","",COUNTIF(Activities!$B:$B,A335))</f>
        <v/>
      </c>
      <c r="BG335" s="2">
        <f>IF(COUNTA(BH335:BK335)=0,"",ROUND(AVERAGE(BH335:BK335),0))</f>
        <v/>
      </c>
      <c r="BH335" s="2">
        <f>IF(BL335="","",IF(BL335&gt;=90,"HOT",IF(BL335&gt;=75,"HIGH",IF(BL335&gt;=50,"MEDIUM","LOW"))))</f>
        <v/>
      </c>
      <c r="BL335" s="2">
        <f>IFERROR(BN335/12,"")</f>
        <v/>
      </c>
      <c r="BP335" s="15" t="n"/>
    </row>
    <row r="336" ht="15.75" customHeight="1" s="19">
      <c r="AD336" s="13" t="n"/>
      <c r="AE336" s="13">
        <f>IF(A336="","",IFERROR(MAXIFS(Activities!$D:$D,Activities!$B:$B,A336),""))</f>
        <v/>
      </c>
      <c r="AF336" s="13">
        <f>IF(A336="","",IFERROR(MINIFS(Follow_Ups!$G:$G,Follow_Ups!$B:$B,A336,Follow_Ups!$H:$H,"&lt;&gt;Completed",Follow_Ups!$G:$G,"&gt;="&amp;TODAY()),""))</f>
        <v/>
      </c>
      <c r="AG336" s="2">
        <f>IF(A336="","",COUNTIF(Activities!$B:$B,A336))</f>
        <v/>
      </c>
      <c r="BG336" s="2">
        <f>IF(COUNTA(BH336:BK336)=0,"",ROUND(AVERAGE(BH336:BK336),0))</f>
        <v/>
      </c>
      <c r="BH336" s="2">
        <f>IF(BL336="","",IF(BL336&gt;=90,"HOT",IF(BL336&gt;=75,"HIGH",IF(BL336&gt;=50,"MEDIUM","LOW"))))</f>
        <v/>
      </c>
      <c r="BL336" s="2">
        <f>IFERROR(BN336/12,"")</f>
        <v/>
      </c>
      <c r="BP336" s="15" t="n"/>
    </row>
    <row r="337" ht="15.75" customHeight="1" s="19">
      <c r="AD337" s="13" t="n"/>
      <c r="AE337" s="13">
        <f>IF(A337="","",IFERROR(MAXIFS(Activities!$D:$D,Activities!$B:$B,A337),""))</f>
        <v/>
      </c>
      <c r="AF337" s="13">
        <f>IF(A337="","",IFERROR(MINIFS(Follow_Ups!$G:$G,Follow_Ups!$B:$B,A337,Follow_Ups!$H:$H,"&lt;&gt;Completed",Follow_Ups!$G:$G,"&gt;="&amp;TODAY()),""))</f>
        <v/>
      </c>
      <c r="AG337" s="2">
        <f>IF(A337="","",COUNTIF(Activities!$B:$B,A337))</f>
        <v/>
      </c>
      <c r="BG337" s="2">
        <f>IF(COUNTA(BH337:BK337)=0,"",ROUND(AVERAGE(BH337:BK337),0))</f>
        <v/>
      </c>
      <c r="BH337" s="2">
        <f>IF(BL337="","",IF(BL337&gt;=90,"HOT",IF(BL337&gt;=75,"HIGH",IF(BL337&gt;=50,"MEDIUM","LOW"))))</f>
        <v/>
      </c>
      <c r="BL337" s="2">
        <f>IFERROR(BN337/12,"")</f>
        <v/>
      </c>
      <c r="BP337" s="15" t="n"/>
    </row>
    <row r="338" ht="15.75" customHeight="1" s="19">
      <c r="AD338" s="13" t="n"/>
      <c r="AE338" s="13">
        <f>IF(A338="","",IFERROR(MAXIFS(Activities!$D:$D,Activities!$B:$B,A338),""))</f>
        <v/>
      </c>
      <c r="AF338" s="13">
        <f>IF(A338="","",IFERROR(MINIFS(Follow_Ups!$G:$G,Follow_Ups!$B:$B,A338,Follow_Ups!$H:$H,"&lt;&gt;Completed",Follow_Ups!$G:$G,"&gt;="&amp;TODAY()),""))</f>
        <v/>
      </c>
      <c r="AG338" s="2">
        <f>IF(A338="","",COUNTIF(Activities!$B:$B,A338))</f>
        <v/>
      </c>
      <c r="BG338" s="2">
        <f>IF(COUNTA(BH338:BK338)=0,"",ROUND(AVERAGE(BH338:BK338),0))</f>
        <v/>
      </c>
      <c r="BH338" s="2">
        <f>IF(BL338="","",IF(BL338&gt;=90,"HOT",IF(BL338&gt;=75,"HIGH",IF(BL338&gt;=50,"MEDIUM","LOW"))))</f>
        <v/>
      </c>
      <c r="BL338" s="2">
        <f>IFERROR(BN338/12,"")</f>
        <v/>
      </c>
      <c r="BP338" s="15" t="n"/>
    </row>
    <row r="339" ht="15.75" customHeight="1" s="19">
      <c r="AD339" s="13" t="n"/>
      <c r="AE339" s="13">
        <f>IF(A339="","",IFERROR(MAXIFS(Activities!$D:$D,Activities!$B:$B,A339),""))</f>
        <v/>
      </c>
      <c r="AF339" s="13">
        <f>IF(A339="","",IFERROR(MINIFS(Follow_Ups!$G:$G,Follow_Ups!$B:$B,A339,Follow_Ups!$H:$H,"&lt;&gt;Completed",Follow_Ups!$G:$G,"&gt;="&amp;TODAY()),""))</f>
        <v/>
      </c>
      <c r="AG339" s="2">
        <f>IF(A339="","",COUNTIF(Activities!$B:$B,A339))</f>
        <v/>
      </c>
      <c r="BG339" s="2">
        <f>IF(COUNTA(BH339:BK339)=0,"",ROUND(AVERAGE(BH339:BK339),0))</f>
        <v/>
      </c>
      <c r="BH339" s="2">
        <f>IF(BL339="","",IF(BL339&gt;=90,"HOT",IF(BL339&gt;=75,"HIGH",IF(BL339&gt;=50,"MEDIUM","LOW"))))</f>
        <v/>
      </c>
      <c r="BL339" s="2">
        <f>IFERROR(BN339/12,"")</f>
        <v/>
      </c>
      <c r="BP339" s="15" t="n"/>
    </row>
    <row r="340" ht="15.75" customHeight="1" s="19">
      <c r="AD340" s="13" t="n"/>
      <c r="AE340" s="13">
        <f>IF(A340="","",IFERROR(MAXIFS(Activities!$D:$D,Activities!$B:$B,A340),""))</f>
        <v/>
      </c>
      <c r="AF340" s="13">
        <f>IF(A340="","",IFERROR(MINIFS(Follow_Ups!$G:$G,Follow_Ups!$B:$B,A340,Follow_Ups!$H:$H,"&lt;&gt;Completed",Follow_Ups!$G:$G,"&gt;="&amp;TODAY()),""))</f>
        <v/>
      </c>
      <c r="AG340" s="2">
        <f>IF(A340="","",COUNTIF(Activities!$B:$B,A340))</f>
        <v/>
      </c>
      <c r="BG340" s="2">
        <f>IF(COUNTA(BH340:BK340)=0,"",ROUND(AVERAGE(BH340:BK340),0))</f>
        <v/>
      </c>
      <c r="BH340" s="2">
        <f>IF(BL340="","",IF(BL340&gt;=90,"HOT",IF(BL340&gt;=75,"HIGH",IF(BL340&gt;=50,"MEDIUM","LOW"))))</f>
        <v/>
      </c>
      <c r="BL340" s="2">
        <f>IFERROR(BN340/12,"")</f>
        <v/>
      </c>
      <c r="BP340" s="15" t="n"/>
    </row>
    <row r="341" ht="15.75" customHeight="1" s="19">
      <c r="AD341" s="13" t="n"/>
      <c r="AE341" s="13">
        <f>IF(A341="","",IFERROR(MAXIFS(Activities!$D:$D,Activities!$B:$B,A341),""))</f>
        <v/>
      </c>
      <c r="AF341" s="13">
        <f>IF(A341="","",IFERROR(MINIFS(Follow_Ups!$G:$G,Follow_Ups!$B:$B,A341,Follow_Ups!$H:$H,"&lt;&gt;Completed",Follow_Ups!$G:$G,"&gt;="&amp;TODAY()),""))</f>
        <v/>
      </c>
      <c r="AG341" s="2">
        <f>IF(A341="","",COUNTIF(Activities!$B:$B,A341))</f>
        <v/>
      </c>
      <c r="BG341" s="2">
        <f>IF(COUNTA(BH341:BK341)=0,"",ROUND(AVERAGE(BH341:BK341),0))</f>
        <v/>
      </c>
      <c r="BH341" s="2">
        <f>IF(BL341="","",IF(BL341&gt;=90,"HOT",IF(BL341&gt;=75,"HIGH",IF(BL341&gt;=50,"MEDIUM","LOW"))))</f>
        <v/>
      </c>
      <c r="BL341" s="2">
        <f>IFERROR(BN341/12,"")</f>
        <v/>
      </c>
      <c r="BP341" s="15" t="n"/>
    </row>
    <row r="342" ht="15.75" customHeight="1" s="19">
      <c r="AD342" s="13" t="n"/>
      <c r="AE342" s="13">
        <f>IF(A342="","",IFERROR(MAXIFS(Activities!$D:$D,Activities!$B:$B,A342),""))</f>
        <v/>
      </c>
      <c r="AF342" s="13">
        <f>IF(A342="","",IFERROR(MINIFS(Follow_Ups!$G:$G,Follow_Ups!$B:$B,A342,Follow_Ups!$H:$H,"&lt;&gt;Completed",Follow_Ups!$G:$G,"&gt;="&amp;TODAY()),""))</f>
        <v/>
      </c>
      <c r="AG342" s="2">
        <f>IF(A342="","",COUNTIF(Activities!$B:$B,A342))</f>
        <v/>
      </c>
      <c r="BG342" s="2">
        <f>IF(COUNTA(BH342:BK342)=0,"",ROUND(AVERAGE(BH342:BK342),0))</f>
        <v/>
      </c>
      <c r="BH342" s="2">
        <f>IF(BL342="","",IF(BL342&gt;=90,"HOT",IF(BL342&gt;=75,"HIGH",IF(BL342&gt;=50,"MEDIUM","LOW"))))</f>
        <v/>
      </c>
      <c r="BL342" s="2">
        <f>IFERROR(BN342/12,"")</f>
        <v/>
      </c>
      <c r="BP342" s="15" t="n"/>
    </row>
    <row r="343" ht="15.75" customHeight="1" s="19">
      <c r="AD343" s="13" t="n"/>
      <c r="AE343" s="13">
        <f>IF(A343="","",IFERROR(MAXIFS(Activities!$D:$D,Activities!$B:$B,A343),""))</f>
        <v/>
      </c>
      <c r="AF343" s="13">
        <f>IF(A343="","",IFERROR(MINIFS(Follow_Ups!$G:$G,Follow_Ups!$B:$B,A343,Follow_Ups!$H:$H,"&lt;&gt;Completed",Follow_Ups!$G:$G,"&gt;="&amp;TODAY()),""))</f>
        <v/>
      </c>
      <c r="AG343" s="2">
        <f>IF(A343="","",COUNTIF(Activities!$B:$B,A343))</f>
        <v/>
      </c>
      <c r="BG343" s="2">
        <f>IF(COUNTA(BH343:BK343)=0,"",ROUND(AVERAGE(BH343:BK343),0))</f>
        <v/>
      </c>
      <c r="BH343" s="2">
        <f>IF(BL343="","",IF(BL343&gt;=90,"HOT",IF(BL343&gt;=75,"HIGH",IF(BL343&gt;=50,"MEDIUM","LOW"))))</f>
        <v/>
      </c>
      <c r="BL343" s="2">
        <f>IFERROR(BN343/12,"")</f>
        <v/>
      </c>
      <c r="BP343" s="15" t="n"/>
    </row>
    <row r="344" ht="15.75" customHeight="1" s="19">
      <c r="AD344" s="13" t="n"/>
      <c r="AE344" s="13">
        <f>IF(A344="","",IFERROR(MAXIFS(Activities!$D:$D,Activities!$B:$B,A344),""))</f>
        <v/>
      </c>
      <c r="AF344" s="13">
        <f>IF(A344="","",IFERROR(MINIFS(Follow_Ups!$G:$G,Follow_Ups!$B:$B,A344,Follow_Ups!$H:$H,"&lt;&gt;Completed",Follow_Ups!$G:$G,"&gt;="&amp;TODAY()),""))</f>
        <v/>
      </c>
      <c r="AG344" s="2">
        <f>IF(A344="","",COUNTIF(Activities!$B:$B,A344))</f>
        <v/>
      </c>
      <c r="BG344" s="2">
        <f>IF(COUNTA(BH344:BK344)=0,"",ROUND(AVERAGE(BH344:BK344),0))</f>
        <v/>
      </c>
      <c r="BH344" s="2">
        <f>IF(BL344="","",IF(BL344&gt;=90,"HOT",IF(BL344&gt;=75,"HIGH",IF(BL344&gt;=50,"MEDIUM","LOW"))))</f>
        <v/>
      </c>
      <c r="BL344" s="2">
        <f>IFERROR(BN344/12,"")</f>
        <v/>
      </c>
      <c r="BP344" s="15" t="n"/>
    </row>
    <row r="345" ht="15.75" customHeight="1" s="19">
      <c r="AD345" s="13" t="n"/>
      <c r="AE345" s="13">
        <f>IF(A345="","",IFERROR(MAXIFS(Activities!$D:$D,Activities!$B:$B,A345),""))</f>
        <v/>
      </c>
      <c r="AF345" s="13">
        <f>IF(A345="","",IFERROR(MINIFS(Follow_Ups!$G:$G,Follow_Ups!$B:$B,A345,Follow_Ups!$H:$H,"&lt;&gt;Completed",Follow_Ups!$G:$G,"&gt;="&amp;TODAY()),""))</f>
        <v/>
      </c>
      <c r="AG345" s="2">
        <f>IF(A345="","",COUNTIF(Activities!$B:$B,A345))</f>
        <v/>
      </c>
      <c r="BG345" s="2">
        <f>IF(COUNTA(BH345:BK345)=0,"",ROUND(AVERAGE(BH345:BK345),0))</f>
        <v/>
      </c>
      <c r="BH345" s="2">
        <f>IF(BL345="","",IF(BL345&gt;=90,"HOT",IF(BL345&gt;=75,"HIGH",IF(BL345&gt;=50,"MEDIUM","LOW"))))</f>
        <v/>
      </c>
      <c r="BL345" s="2">
        <f>IFERROR(BN345/12,"")</f>
        <v/>
      </c>
      <c r="BP345" s="15" t="n"/>
    </row>
    <row r="346" ht="15.75" customHeight="1" s="19">
      <c r="AD346" s="13" t="n"/>
      <c r="AE346" s="13">
        <f>IF(A346="","",IFERROR(MAXIFS(Activities!$D:$D,Activities!$B:$B,A346),""))</f>
        <v/>
      </c>
      <c r="AF346" s="13">
        <f>IF(A346="","",IFERROR(MINIFS(Follow_Ups!$G:$G,Follow_Ups!$B:$B,A346,Follow_Ups!$H:$H,"&lt;&gt;Completed",Follow_Ups!$G:$G,"&gt;="&amp;TODAY()),""))</f>
        <v/>
      </c>
      <c r="AG346" s="2">
        <f>IF(A346="","",COUNTIF(Activities!$B:$B,A346))</f>
        <v/>
      </c>
      <c r="BG346" s="2">
        <f>IF(COUNTA(BH346:BK346)=0,"",ROUND(AVERAGE(BH346:BK346),0))</f>
        <v/>
      </c>
      <c r="BH346" s="2">
        <f>IF(BL346="","",IF(BL346&gt;=90,"HOT",IF(BL346&gt;=75,"HIGH",IF(BL346&gt;=50,"MEDIUM","LOW"))))</f>
        <v/>
      </c>
      <c r="BL346" s="2">
        <f>IFERROR(BN346/12,"")</f>
        <v/>
      </c>
      <c r="BP346" s="15" t="n"/>
    </row>
    <row r="347" ht="15.75" customHeight="1" s="19">
      <c r="AD347" s="13" t="n"/>
      <c r="AE347" s="13">
        <f>IF(A347="","",IFERROR(MAXIFS(Activities!$D:$D,Activities!$B:$B,A347),""))</f>
        <v/>
      </c>
      <c r="AF347" s="13">
        <f>IF(A347="","",IFERROR(MINIFS(Follow_Ups!$G:$G,Follow_Ups!$B:$B,A347,Follow_Ups!$H:$H,"&lt;&gt;Completed",Follow_Ups!$G:$G,"&gt;="&amp;TODAY()),""))</f>
        <v/>
      </c>
      <c r="AG347" s="2">
        <f>IF(A347="","",COUNTIF(Activities!$B:$B,A347))</f>
        <v/>
      </c>
      <c r="BG347" s="2">
        <f>IF(COUNTA(BH347:BK347)=0,"",ROUND(AVERAGE(BH347:BK347),0))</f>
        <v/>
      </c>
      <c r="BH347" s="2">
        <f>IF(BL347="","",IF(BL347&gt;=90,"HOT",IF(BL347&gt;=75,"HIGH",IF(BL347&gt;=50,"MEDIUM","LOW"))))</f>
        <v/>
      </c>
      <c r="BL347" s="2">
        <f>IFERROR(BN347/12,"")</f>
        <v/>
      </c>
      <c r="BP347" s="15" t="n"/>
    </row>
    <row r="348" ht="15.75" customHeight="1" s="19">
      <c r="AD348" s="13" t="n"/>
      <c r="AE348" s="13">
        <f>IF(A348="","",IFERROR(MAXIFS(Activities!$D:$D,Activities!$B:$B,A348),""))</f>
        <v/>
      </c>
      <c r="AF348" s="13">
        <f>IF(A348="","",IFERROR(MINIFS(Follow_Ups!$G:$G,Follow_Ups!$B:$B,A348,Follow_Ups!$H:$H,"&lt;&gt;Completed",Follow_Ups!$G:$G,"&gt;="&amp;TODAY()),""))</f>
        <v/>
      </c>
      <c r="AG348" s="2">
        <f>IF(A348="","",COUNTIF(Activities!$B:$B,A348))</f>
        <v/>
      </c>
      <c r="BG348" s="2">
        <f>IF(COUNTA(BH348:BK348)=0,"",ROUND(AVERAGE(BH348:BK348),0))</f>
        <v/>
      </c>
      <c r="BH348" s="2">
        <f>IF(BL348="","",IF(BL348&gt;=90,"HOT",IF(BL348&gt;=75,"HIGH",IF(BL348&gt;=50,"MEDIUM","LOW"))))</f>
        <v/>
      </c>
      <c r="BL348" s="2">
        <f>IFERROR(BN348/12,"")</f>
        <v/>
      </c>
      <c r="BP348" s="15" t="n"/>
    </row>
    <row r="349" ht="15.75" customHeight="1" s="19">
      <c r="AD349" s="13" t="n"/>
      <c r="AE349" s="13">
        <f>IF(A349="","",IFERROR(MAXIFS(Activities!$D:$D,Activities!$B:$B,A349),""))</f>
        <v/>
      </c>
      <c r="AF349" s="13">
        <f>IF(A349="","",IFERROR(MINIFS(Follow_Ups!$G:$G,Follow_Ups!$B:$B,A349,Follow_Ups!$H:$H,"&lt;&gt;Completed",Follow_Ups!$G:$G,"&gt;="&amp;TODAY()),""))</f>
        <v/>
      </c>
      <c r="AG349" s="2">
        <f>IF(A349="","",COUNTIF(Activities!$B:$B,A349))</f>
        <v/>
      </c>
      <c r="BG349" s="2">
        <f>IF(COUNTA(BH349:BK349)=0,"",ROUND(AVERAGE(BH349:BK349),0))</f>
        <v/>
      </c>
      <c r="BH349" s="2">
        <f>IF(BL349="","",IF(BL349&gt;=90,"HOT",IF(BL349&gt;=75,"HIGH",IF(BL349&gt;=50,"MEDIUM","LOW"))))</f>
        <v/>
      </c>
      <c r="BL349" s="2">
        <f>IFERROR(BN349/12,"")</f>
        <v/>
      </c>
      <c r="BP349" s="15" t="n"/>
    </row>
    <row r="350" ht="15.75" customHeight="1" s="19">
      <c r="AD350" s="13" t="n"/>
      <c r="AE350" s="13">
        <f>IF(A350="","",IFERROR(MAXIFS(Activities!$D:$D,Activities!$B:$B,A350),""))</f>
        <v/>
      </c>
      <c r="AF350" s="13">
        <f>IF(A350="","",IFERROR(MINIFS(Follow_Ups!$G:$G,Follow_Ups!$B:$B,A350,Follow_Ups!$H:$H,"&lt;&gt;Completed",Follow_Ups!$G:$G,"&gt;="&amp;TODAY()),""))</f>
        <v/>
      </c>
      <c r="AG350" s="2">
        <f>IF(A350="","",COUNTIF(Activities!$B:$B,A350))</f>
        <v/>
      </c>
      <c r="BG350" s="2">
        <f>IF(COUNTA(BH350:BK350)=0,"",ROUND(AVERAGE(BH350:BK350),0))</f>
        <v/>
      </c>
      <c r="BH350" s="2">
        <f>IF(BL350="","",IF(BL350&gt;=90,"HOT",IF(BL350&gt;=75,"HIGH",IF(BL350&gt;=50,"MEDIUM","LOW"))))</f>
        <v/>
      </c>
      <c r="BL350" s="2">
        <f>IFERROR(BN350/12,"")</f>
        <v/>
      </c>
      <c r="BP350" s="15" t="n"/>
    </row>
    <row r="351" ht="15.75" customHeight="1" s="19">
      <c r="AD351" s="13" t="n"/>
      <c r="AE351" s="13">
        <f>IF(A351="","",IFERROR(MAXIFS(Activities!$D:$D,Activities!$B:$B,A351),""))</f>
        <v/>
      </c>
      <c r="AF351" s="13">
        <f>IF(A351="","",IFERROR(MINIFS(Follow_Ups!$G:$G,Follow_Ups!$B:$B,A351,Follow_Ups!$H:$H,"&lt;&gt;Completed",Follow_Ups!$G:$G,"&gt;="&amp;TODAY()),""))</f>
        <v/>
      </c>
      <c r="AG351" s="2">
        <f>IF(A351="","",COUNTIF(Activities!$B:$B,A351))</f>
        <v/>
      </c>
      <c r="BG351" s="2">
        <f>IF(COUNTA(BH351:BK351)=0,"",ROUND(AVERAGE(BH351:BK351),0))</f>
        <v/>
      </c>
      <c r="BH351" s="2">
        <f>IF(BL351="","",IF(BL351&gt;=90,"HOT",IF(BL351&gt;=75,"HIGH",IF(BL351&gt;=50,"MEDIUM","LOW"))))</f>
        <v/>
      </c>
      <c r="BL351" s="2">
        <f>IFERROR(BN351/12,"")</f>
        <v/>
      </c>
      <c r="BP351" s="15" t="n"/>
    </row>
    <row r="352" ht="15.75" customHeight="1" s="19">
      <c r="AD352" s="13" t="n"/>
      <c r="AE352" s="13">
        <f>IF(A352="","",IFERROR(MAXIFS(Activities!$D:$D,Activities!$B:$B,A352),""))</f>
        <v/>
      </c>
      <c r="AF352" s="13">
        <f>IF(A352="","",IFERROR(MINIFS(Follow_Ups!$G:$G,Follow_Ups!$B:$B,A352,Follow_Ups!$H:$H,"&lt;&gt;Completed",Follow_Ups!$G:$G,"&gt;="&amp;TODAY()),""))</f>
        <v/>
      </c>
      <c r="AG352" s="2">
        <f>IF(A352="","",COUNTIF(Activities!$B:$B,A352))</f>
        <v/>
      </c>
      <c r="BG352" s="2">
        <f>IF(COUNTA(BH352:BK352)=0,"",ROUND(AVERAGE(BH352:BK352),0))</f>
        <v/>
      </c>
      <c r="BH352" s="2">
        <f>IF(BL352="","",IF(BL352&gt;=90,"HOT",IF(BL352&gt;=75,"HIGH",IF(BL352&gt;=50,"MEDIUM","LOW"))))</f>
        <v/>
      </c>
      <c r="BL352" s="2">
        <f>IFERROR(BN352/12,"")</f>
        <v/>
      </c>
      <c r="BP352" s="15" t="n"/>
    </row>
    <row r="353" ht="15.75" customHeight="1" s="19">
      <c r="AD353" s="13" t="n"/>
      <c r="AE353" s="13">
        <f>IF(A353="","",IFERROR(MAXIFS(Activities!$D:$D,Activities!$B:$B,A353),""))</f>
        <v/>
      </c>
      <c r="AF353" s="13">
        <f>IF(A353="","",IFERROR(MINIFS(Follow_Ups!$G:$G,Follow_Ups!$B:$B,A353,Follow_Ups!$H:$H,"&lt;&gt;Completed",Follow_Ups!$G:$G,"&gt;="&amp;TODAY()),""))</f>
        <v/>
      </c>
      <c r="AG353" s="2">
        <f>IF(A353="","",COUNTIF(Activities!$B:$B,A353))</f>
        <v/>
      </c>
      <c r="BG353" s="2">
        <f>IF(COUNTA(BH353:BK353)=0,"",ROUND(AVERAGE(BH353:BK353),0))</f>
        <v/>
      </c>
      <c r="BH353" s="2">
        <f>IF(BL353="","",IF(BL353&gt;=90,"HOT",IF(BL353&gt;=75,"HIGH",IF(BL353&gt;=50,"MEDIUM","LOW"))))</f>
        <v/>
      </c>
      <c r="BL353" s="2">
        <f>IFERROR(BN353/12,"")</f>
        <v/>
      </c>
      <c r="BP353" s="15" t="n"/>
    </row>
    <row r="354" ht="15.75" customHeight="1" s="19">
      <c r="AD354" s="13" t="n"/>
      <c r="AE354" s="13">
        <f>IF(A354="","",IFERROR(MAXIFS(Activities!$D:$D,Activities!$B:$B,A354),""))</f>
        <v/>
      </c>
      <c r="AF354" s="13">
        <f>IF(A354="","",IFERROR(MINIFS(Follow_Ups!$G:$G,Follow_Ups!$B:$B,A354,Follow_Ups!$H:$H,"&lt;&gt;Completed",Follow_Ups!$G:$G,"&gt;="&amp;TODAY()),""))</f>
        <v/>
      </c>
      <c r="AG354" s="2">
        <f>IF(A354="","",COUNTIF(Activities!$B:$B,A354))</f>
        <v/>
      </c>
      <c r="BG354" s="2">
        <f>IF(COUNTA(BH354:BK354)=0,"",ROUND(AVERAGE(BH354:BK354),0))</f>
        <v/>
      </c>
      <c r="BH354" s="2">
        <f>IF(BL354="","",IF(BL354&gt;=90,"HOT",IF(BL354&gt;=75,"HIGH",IF(BL354&gt;=50,"MEDIUM","LOW"))))</f>
        <v/>
      </c>
      <c r="BL354" s="2">
        <f>IFERROR(BN354/12,"")</f>
        <v/>
      </c>
      <c r="BP354" s="15" t="n"/>
    </row>
    <row r="355" ht="15.75" customHeight="1" s="19">
      <c r="AD355" s="13" t="n"/>
      <c r="AE355" s="13">
        <f>IF(A355="","",IFERROR(MAXIFS(Activities!$D:$D,Activities!$B:$B,A355),""))</f>
        <v/>
      </c>
      <c r="AF355" s="13">
        <f>IF(A355="","",IFERROR(MINIFS(Follow_Ups!$G:$G,Follow_Ups!$B:$B,A355,Follow_Ups!$H:$H,"&lt;&gt;Completed",Follow_Ups!$G:$G,"&gt;="&amp;TODAY()),""))</f>
        <v/>
      </c>
      <c r="AG355" s="2">
        <f>IF(A355="","",COUNTIF(Activities!$B:$B,A355))</f>
        <v/>
      </c>
      <c r="BG355" s="2">
        <f>IF(COUNTA(BH355:BK355)=0,"",ROUND(AVERAGE(BH355:BK355),0))</f>
        <v/>
      </c>
      <c r="BH355" s="2">
        <f>IF(BL355="","",IF(BL355&gt;=90,"HOT",IF(BL355&gt;=75,"HIGH",IF(BL355&gt;=50,"MEDIUM","LOW"))))</f>
        <v/>
      </c>
      <c r="BL355" s="2">
        <f>IFERROR(BN355/12,"")</f>
        <v/>
      </c>
      <c r="BP355" s="15" t="n"/>
    </row>
    <row r="356" ht="15.75" customHeight="1" s="19">
      <c r="AD356" s="13" t="n"/>
      <c r="AE356" s="13">
        <f>IF(A356="","",IFERROR(MAXIFS(Activities!$D:$D,Activities!$B:$B,A356),""))</f>
        <v/>
      </c>
      <c r="AF356" s="13">
        <f>IF(A356="","",IFERROR(MINIFS(Follow_Ups!$G:$G,Follow_Ups!$B:$B,A356,Follow_Ups!$H:$H,"&lt;&gt;Completed",Follow_Ups!$G:$G,"&gt;="&amp;TODAY()),""))</f>
        <v/>
      </c>
      <c r="AG356" s="2">
        <f>IF(A356="","",COUNTIF(Activities!$B:$B,A356))</f>
        <v/>
      </c>
      <c r="BG356" s="2">
        <f>IF(COUNTA(BH356:BK356)=0,"",ROUND(AVERAGE(BH356:BK356),0))</f>
        <v/>
      </c>
      <c r="BH356" s="2">
        <f>IF(BL356="","",IF(BL356&gt;=90,"HOT",IF(BL356&gt;=75,"HIGH",IF(BL356&gt;=50,"MEDIUM","LOW"))))</f>
        <v/>
      </c>
      <c r="BL356" s="2">
        <f>IFERROR(BN356/12,"")</f>
        <v/>
      </c>
      <c r="BP356" s="15" t="n"/>
    </row>
    <row r="357" ht="15.75" customHeight="1" s="19">
      <c r="AD357" s="13" t="n"/>
      <c r="AE357" s="13">
        <f>IF(A357="","",IFERROR(MAXIFS(Activities!$D:$D,Activities!$B:$B,A357),""))</f>
        <v/>
      </c>
      <c r="AF357" s="13">
        <f>IF(A357="","",IFERROR(MINIFS(Follow_Ups!$G:$G,Follow_Ups!$B:$B,A357,Follow_Ups!$H:$H,"&lt;&gt;Completed",Follow_Ups!$G:$G,"&gt;="&amp;TODAY()),""))</f>
        <v/>
      </c>
      <c r="AG357" s="2">
        <f>IF(A357="","",COUNTIF(Activities!$B:$B,A357))</f>
        <v/>
      </c>
      <c r="BG357" s="2">
        <f>IF(COUNTA(BH357:BK357)=0,"",ROUND(AVERAGE(BH357:BK357),0))</f>
        <v/>
      </c>
      <c r="BH357" s="2">
        <f>IF(BL357="","",IF(BL357&gt;=90,"HOT",IF(BL357&gt;=75,"HIGH",IF(BL357&gt;=50,"MEDIUM","LOW"))))</f>
        <v/>
      </c>
      <c r="BL357" s="2">
        <f>IFERROR(BN357/12,"")</f>
        <v/>
      </c>
      <c r="BP357" s="15" t="n"/>
    </row>
    <row r="358" ht="15.75" customHeight="1" s="19">
      <c r="AD358" s="13" t="n"/>
      <c r="AE358" s="13">
        <f>IF(A358="","",IFERROR(MAXIFS(Activities!$D:$D,Activities!$B:$B,A358),""))</f>
        <v/>
      </c>
      <c r="AF358" s="13">
        <f>IF(A358="","",IFERROR(MINIFS(Follow_Ups!$G:$G,Follow_Ups!$B:$B,A358,Follow_Ups!$H:$H,"&lt;&gt;Completed",Follow_Ups!$G:$G,"&gt;="&amp;TODAY()),""))</f>
        <v/>
      </c>
      <c r="AG358" s="2">
        <f>IF(A358="","",COUNTIF(Activities!$B:$B,A358))</f>
        <v/>
      </c>
      <c r="BG358" s="2">
        <f>IF(COUNTA(BH358:BK358)=0,"",ROUND(AVERAGE(BH358:BK358),0))</f>
        <v/>
      </c>
      <c r="BH358" s="2">
        <f>IF(BL358="","",IF(BL358&gt;=90,"HOT",IF(BL358&gt;=75,"HIGH",IF(BL358&gt;=50,"MEDIUM","LOW"))))</f>
        <v/>
      </c>
      <c r="BL358" s="2">
        <f>IFERROR(BN358/12,"")</f>
        <v/>
      </c>
      <c r="BP358" s="15" t="n"/>
    </row>
    <row r="359" ht="15.75" customHeight="1" s="19">
      <c r="AD359" s="13" t="n"/>
      <c r="AE359" s="13">
        <f>IF(A359="","",IFERROR(MAXIFS(Activities!$D:$D,Activities!$B:$B,A359),""))</f>
        <v/>
      </c>
      <c r="AF359" s="13">
        <f>IF(A359="","",IFERROR(MINIFS(Follow_Ups!$G:$G,Follow_Ups!$B:$B,A359,Follow_Ups!$H:$H,"&lt;&gt;Completed",Follow_Ups!$G:$G,"&gt;="&amp;TODAY()),""))</f>
        <v/>
      </c>
      <c r="AG359" s="2">
        <f>IF(A359="","",COUNTIF(Activities!$B:$B,A359))</f>
        <v/>
      </c>
      <c r="BG359" s="2">
        <f>IF(COUNTA(BH359:BK359)=0,"",ROUND(AVERAGE(BH359:BK359),0))</f>
        <v/>
      </c>
      <c r="BH359" s="2">
        <f>IF(BL359="","",IF(BL359&gt;=90,"HOT",IF(BL359&gt;=75,"HIGH",IF(BL359&gt;=50,"MEDIUM","LOW"))))</f>
        <v/>
      </c>
      <c r="BL359" s="2">
        <f>IFERROR(BN359/12,"")</f>
        <v/>
      </c>
      <c r="BP359" s="15" t="n"/>
    </row>
    <row r="360" ht="15.75" customHeight="1" s="19">
      <c r="AD360" s="13" t="n"/>
      <c r="AE360" s="13">
        <f>IF(A360="","",IFERROR(MAXIFS(Activities!$D:$D,Activities!$B:$B,A360),""))</f>
        <v/>
      </c>
      <c r="AF360" s="13">
        <f>IF(A360="","",IFERROR(MINIFS(Follow_Ups!$G:$G,Follow_Ups!$B:$B,A360,Follow_Ups!$H:$H,"&lt;&gt;Completed",Follow_Ups!$G:$G,"&gt;="&amp;TODAY()),""))</f>
        <v/>
      </c>
      <c r="AG360" s="2">
        <f>IF(A360="","",COUNTIF(Activities!$B:$B,A360))</f>
        <v/>
      </c>
      <c r="BG360" s="2">
        <f>IF(COUNTA(BH360:BK360)=0,"",ROUND(AVERAGE(BH360:BK360),0))</f>
        <v/>
      </c>
      <c r="BH360" s="2">
        <f>IF(BL360="","",IF(BL360&gt;=90,"HOT",IF(BL360&gt;=75,"HIGH",IF(BL360&gt;=50,"MEDIUM","LOW"))))</f>
        <v/>
      </c>
      <c r="BL360" s="2">
        <f>IFERROR(BN360/12,"")</f>
        <v/>
      </c>
      <c r="BP360" s="15" t="n"/>
    </row>
    <row r="361" ht="15.75" customHeight="1" s="19">
      <c r="AD361" s="13" t="n"/>
      <c r="AE361" s="13">
        <f>IF(A361="","",IFERROR(MAXIFS(Activities!$D:$D,Activities!$B:$B,A361),""))</f>
        <v/>
      </c>
      <c r="AF361" s="13">
        <f>IF(A361="","",IFERROR(MINIFS(Follow_Ups!$G:$G,Follow_Ups!$B:$B,A361,Follow_Ups!$H:$H,"&lt;&gt;Completed",Follow_Ups!$G:$G,"&gt;="&amp;TODAY()),""))</f>
        <v/>
      </c>
      <c r="AG361" s="2">
        <f>IF(A361="","",COUNTIF(Activities!$B:$B,A361))</f>
        <v/>
      </c>
      <c r="BG361" s="2">
        <f>IF(COUNTA(BH361:BK361)=0,"",ROUND(AVERAGE(BH361:BK361),0))</f>
        <v/>
      </c>
      <c r="BH361" s="2">
        <f>IF(BL361="","",IF(BL361&gt;=90,"HOT",IF(BL361&gt;=75,"HIGH",IF(BL361&gt;=50,"MEDIUM","LOW"))))</f>
        <v/>
      </c>
      <c r="BL361" s="2">
        <f>IFERROR(BN361/12,"")</f>
        <v/>
      </c>
      <c r="BP361" s="15" t="n"/>
    </row>
    <row r="362" ht="15.75" customHeight="1" s="19">
      <c r="AD362" s="13" t="n"/>
      <c r="AE362" s="13">
        <f>IF(A362="","",IFERROR(MAXIFS(Activities!$D:$D,Activities!$B:$B,A362),""))</f>
        <v/>
      </c>
      <c r="AF362" s="13">
        <f>IF(A362="","",IFERROR(MINIFS(Follow_Ups!$G:$G,Follow_Ups!$B:$B,A362,Follow_Ups!$H:$H,"&lt;&gt;Completed",Follow_Ups!$G:$G,"&gt;="&amp;TODAY()),""))</f>
        <v/>
      </c>
      <c r="AG362" s="2">
        <f>IF(A362="","",COUNTIF(Activities!$B:$B,A362))</f>
        <v/>
      </c>
      <c r="BG362" s="2">
        <f>IF(COUNTA(BH362:BK362)=0,"",ROUND(AVERAGE(BH362:BK362),0))</f>
        <v/>
      </c>
      <c r="BH362" s="2">
        <f>IF(BL362="","",IF(BL362&gt;=90,"HOT",IF(BL362&gt;=75,"HIGH",IF(BL362&gt;=50,"MEDIUM","LOW"))))</f>
        <v/>
      </c>
      <c r="BL362" s="2">
        <f>IFERROR(BN362/12,"")</f>
        <v/>
      </c>
      <c r="BP362" s="15" t="n"/>
    </row>
    <row r="363" ht="15.75" customHeight="1" s="19">
      <c r="AD363" s="13" t="n"/>
      <c r="AE363" s="13">
        <f>IF(A363="","",IFERROR(MAXIFS(Activities!$D:$D,Activities!$B:$B,A363),""))</f>
        <v/>
      </c>
      <c r="AF363" s="13">
        <f>IF(A363="","",IFERROR(MINIFS(Follow_Ups!$G:$G,Follow_Ups!$B:$B,A363,Follow_Ups!$H:$H,"&lt;&gt;Completed",Follow_Ups!$G:$G,"&gt;="&amp;TODAY()),""))</f>
        <v/>
      </c>
      <c r="AG363" s="2">
        <f>IF(A363="","",COUNTIF(Activities!$B:$B,A363))</f>
        <v/>
      </c>
      <c r="BG363" s="2">
        <f>IF(COUNTA(BH363:BK363)=0,"",ROUND(AVERAGE(BH363:BK363),0))</f>
        <v/>
      </c>
      <c r="BH363" s="2">
        <f>IF(BL363="","",IF(BL363&gt;=90,"HOT",IF(BL363&gt;=75,"HIGH",IF(BL363&gt;=50,"MEDIUM","LOW"))))</f>
        <v/>
      </c>
      <c r="BL363" s="2">
        <f>IFERROR(BN363/12,"")</f>
        <v/>
      </c>
      <c r="BP363" s="15" t="n"/>
    </row>
    <row r="364" ht="15.75" customHeight="1" s="19">
      <c r="AD364" s="13" t="n"/>
      <c r="AE364" s="13">
        <f>IF(A364="","",IFERROR(MAXIFS(Activities!$D:$D,Activities!$B:$B,A364),""))</f>
        <v/>
      </c>
      <c r="AF364" s="13">
        <f>IF(A364="","",IFERROR(MINIFS(Follow_Ups!$G:$G,Follow_Ups!$B:$B,A364,Follow_Ups!$H:$H,"&lt;&gt;Completed",Follow_Ups!$G:$G,"&gt;="&amp;TODAY()),""))</f>
        <v/>
      </c>
      <c r="AG364" s="2">
        <f>IF(A364="","",COUNTIF(Activities!$B:$B,A364))</f>
        <v/>
      </c>
      <c r="BG364" s="2">
        <f>IF(COUNTA(BH364:BK364)=0,"",ROUND(AVERAGE(BH364:BK364),0))</f>
        <v/>
      </c>
      <c r="BH364" s="2">
        <f>IF(BL364="","",IF(BL364&gt;=90,"HOT",IF(BL364&gt;=75,"HIGH",IF(BL364&gt;=50,"MEDIUM","LOW"))))</f>
        <v/>
      </c>
      <c r="BL364" s="2">
        <f>IFERROR(BN364/12,"")</f>
        <v/>
      </c>
      <c r="BP364" s="15" t="n"/>
    </row>
    <row r="365" ht="15.75" customHeight="1" s="19">
      <c r="AD365" s="13" t="n"/>
      <c r="AE365" s="13">
        <f>IF(A365="","",IFERROR(MAXIFS(Activities!$D:$D,Activities!$B:$B,A365),""))</f>
        <v/>
      </c>
      <c r="AF365" s="13">
        <f>IF(A365="","",IFERROR(MINIFS(Follow_Ups!$G:$G,Follow_Ups!$B:$B,A365,Follow_Ups!$H:$H,"&lt;&gt;Completed",Follow_Ups!$G:$G,"&gt;="&amp;TODAY()),""))</f>
        <v/>
      </c>
      <c r="AG365" s="2">
        <f>IF(A365="","",COUNTIF(Activities!$B:$B,A365))</f>
        <v/>
      </c>
      <c r="BG365" s="2">
        <f>IF(COUNTA(BH365:BK365)=0,"",ROUND(AVERAGE(BH365:BK365),0))</f>
        <v/>
      </c>
      <c r="BH365" s="2">
        <f>IF(BL365="","",IF(BL365&gt;=90,"HOT",IF(BL365&gt;=75,"HIGH",IF(BL365&gt;=50,"MEDIUM","LOW"))))</f>
        <v/>
      </c>
      <c r="BL365" s="2">
        <f>IFERROR(BN365/12,"")</f>
        <v/>
      </c>
      <c r="BP365" s="15" t="n"/>
    </row>
    <row r="366" ht="15.75" customHeight="1" s="19">
      <c r="AD366" s="13" t="n"/>
      <c r="AE366" s="13">
        <f>IF(A366="","",IFERROR(MAXIFS(Activities!$D:$D,Activities!$B:$B,A366),""))</f>
        <v/>
      </c>
      <c r="AF366" s="13">
        <f>IF(A366="","",IFERROR(MINIFS(Follow_Ups!$G:$G,Follow_Ups!$B:$B,A366,Follow_Ups!$H:$H,"&lt;&gt;Completed",Follow_Ups!$G:$G,"&gt;="&amp;TODAY()),""))</f>
        <v/>
      </c>
      <c r="AG366" s="2">
        <f>IF(A366="","",COUNTIF(Activities!$B:$B,A366))</f>
        <v/>
      </c>
      <c r="BG366" s="2">
        <f>IF(COUNTA(BH366:BK366)=0,"",ROUND(AVERAGE(BH366:BK366),0))</f>
        <v/>
      </c>
      <c r="BH366" s="2">
        <f>IF(BL366="","",IF(BL366&gt;=90,"HOT",IF(BL366&gt;=75,"HIGH",IF(BL366&gt;=50,"MEDIUM","LOW"))))</f>
        <v/>
      </c>
      <c r="BL366" s="2">
        <f>IFERROR(BN366/12,"")</f>
        <v/>
      </c>
      <c r="BP366" s="15" t="n"/>
    </row>
    <row r="367" ht="15.75" customHeight="1" s="19">
      <c r="AD367" s="13" t="n"/>
      <c r="AE367" s="13">
        <f>IF(A367="","",IFERROR(MAXIFS(Activities!$D:$D,Activities!$B:$B,A367),""))</f>
        <v/>
      </c>
      <c r="AF367" s="13">
        <f>IF(A367="","",IFERROR(MINIFS(Follow_Ups!$G:$G,Follow_Ups!$B:$B,A367,Follow_Ups!$H:$H,"&lt;&gt;Completed",Follow_Ups!$G:$G,"&gt;="&amp;TODAY()),""))</f>
        <v/>
      </c>
      <c r="AG367" s="2">
        <f>IF(A367="","",COUNTIF(Activities!$B:$B,A367))</f>
        <v/>
      </c>
      <c r="BG367" s="2">
        <f>IF(COUNTA(BH367:BK367)=0,"",ROUND(AVERAGE(BH367:BK367),0))</f>
        <v/>
      </c>
      <c r="BH367" s="2">
        <f>IF(BL367="","",IF(BL367&gt;=90,"HOT",IF(BL367&gt;=75,"HIGH",IF(BL367&gt;=50,"MEDIUM","LOW"))))</f>
        <v/>
      </c>
      <c r="BL367" s="2">
        <f>IFERROR(BN367/12,"")</f>
        <v/>
      </c>
      <c r="BP367" s="15" t="n"/>
    </row>
    <row r="368" ht="15.75" customHeight="1" s="19">
      <c r="AD368" s="13" t="n"/>
      <c r="AE368" s="13">
        <f>IF(A368="","",IFERROR(MAXIFS(Activities!$D:$D,Activities!$B:$B,A368),""))</f>
        <v/>
      </c>
      <c r="AF368" s="13">
        <f>IF(A368="","",IFERROR(MINIFS(Follow_Ups!$G:$G,Follow_Ups!$B:$B,A368,Follow_Ups!$H:$H,"&lt;&gt;Completed",Follow_Ups!$G:$G,"&gt;="&amp;TODAY()),""))</f>
        <v/>
      </c>
      <c r="AG368" s="2">
        <f>IF(A368="","",COUNTIF(Activities!$B:$B,A368))</f>
        <v/>
      </c>
      <c r="BG368" s="2">
        <f>IF(COUNTA(BH368:BK368)=0,"",ROUND(AVERAGE(BH368:BK368),0))</f>
        <v/>
      </c>
      <c r="BH368" s="2">
        <f>IF(BL368="","",IF(BL368&gt;=90,"HOT",IF(BL368&gt;=75,"HIGH",IF(BL368&gt;=50,"MEDIUM","LOW"))))</f>
        <v/>
      </c>
      <c r="BL368" s="2">
        <f>IFERROR(BN368/12,"")</f>
        <v/>
      </c>
      <c r="BP368" s="15" t="n"/>
    </row>
    <row r="369" ht="15.75" customHeight="1" s="19">
      <c r="AD369" s="13" t="n"/>
      <c r="AE369" s="13">
        <f>IF(A369="","",IFERROR(MAXIFS(Activities!$D:$D,Activities!$B:$B,A369),""))</f>
        <v/>
      </c>
      <c r="AF369" s="13">
        <f>IF(A369="","",IFERROR(MINIFS(Follow_Ups!$G:$G,Follow_Ups!$B:$B,A369,Follow_Ups!$H:$H,"&lt;&gt;Completed",Follow_Ups!$G:$G,"&gt;="&amp;TODAY()),""))</f>
        <v/>
      </c>
      <c r="AG369" s="2">
        <f>IF(A369="","",COUNTIF(Activities!$B:$B,A369))</f>
        <v/>
      </c>
      <c r="BG369" s="2">
        <f>IF(COUNTA(BH369:BK369)=0,"",ROUND(AVERAGE(BH369:BK369),0))</f>
        <v/>
      </c>
      <c r="BH369" s="2">
        <f>IF(BL369="","",IF(BL369&gt;=90,"HOT",IF(BL369&gt;=75,"HIGH",IF(BL369&gt;=50,"MEDIUM","LOW"))))</f>
        <v/>
      </c>
      <c r="BL369" s="2">
        <f>IFERROR(BN369/12,"")</f>
        <v/>
      </c>
      <c r="BP369" s="15" t="n"/>
    </row>
    <row r="370" ht="15.75" customHeight="1" s="19">
      <c r="AD370" s="13" t="n"/>
      <c r="AE370" s="13">
        <f>IF(A370="","",IFERROR(MAXIFS(Activities!$D:$D,Activities!$B:$B,A370),""))</f>
        <v/>
      </c>
      <c r="AF370" s="13">
        <f>IF(A370="","",IFERROR(MINIFS(Follow_Ups!$G:$G,Follow_Ups!$B:$B,A370,Follow_Ups!$H:$H,"&lt;&gt;Completed",Follow_Ups!$G:$G,"&gt;="&amp;TODAY()),""))</f>
        <v/>
      </c>
      <c r="AG370" s="2">
        <f>IF(A370="","",COUNTIF(Activities!$B:$B,A370))</f>
        <v/>
      </c>
      <c r="BG370" s="2">
        <f>IF(COUNTA(BH370:BK370)=0,"",ROUND(AVERAGE(BH370:BK370),0))</f>
        <v/>
      </c>
      <c r="BH370" s="2">
        <f>IF(BL370="","",IF(BL370&gt;=90,"HOT",IF(BL370&gt;=75,"HIGH",IF(BL370&gt;=50,"MEDIUM","LOW"))))</f>
        <v/>
      </c>
      <c r="BL370" s="2">
        <f>IFERROR(BN370/12,"")</f>
        <v/>
      </c>
      <c r="BP370" s="15" t="n"/>
    </row>
    <row r="371" ht="15.75" customHeight="1" s="19">
      <c r="AD371" s="13" t="n"/>
      <c r="AE371" s="13">
        <f>IF(A371="","",IFERROR(MAXIFS(Activities!$D:$D,Activities!$B:$B,A371),""))</f>
        <v/>
      </c>
      <c r="AF371" s="13">
        <f>IF(A371="","",IFERROR(MINIFS(Follow_Ups!$G:$G,Follow_Ups!$B:$B,A371,Follow_Ups!$H:$H,"&lt;&gt;Completed",Follow_Ups!$G:$G,"&gt;="&amp;TODAY()),""))</f>
        <v/>
      </c>
      <c r="AG371" s="2">
        <f>IF(A371="","",COUNTIF(Activities!$B:$B,A371))</f>
        <v/>
      </c>
      <c r="BG371" s="2">
        <f>IF(COUNTA(BH371:BK371)=0,"",ROUND(AVERAGE(BH371:BK371),0))</f>
        <v/>
      </c>
      <c r="BH371" s="2">
        <f>IF(BL371="","",IF(BL371&gt;=90,"HOT",IF(BL371&gt;=75,"HIGH",IF(BL371&gt;=50,"MEDIUM","LOW"))))</f>
        <v/>
      </c>
      <c r="BL371" s="2">
        <f>IFERROR(BN371/12,"")</f>
        <v/>
      </c>
      <c r="BP371" s="15" t="n"/>
    </row>
    <row r="372" ht="15.75" customHeight="1" s="19">
      <c r="AD372" s="13" t="n"/>
      <c r="AE372" s="13">
        <f>IF(A372="","",IFERROR(MAXIFS(Activities!$D:$D,Activities!$B:$B,A372),""))</f>
        <v/>
      </c>
      <c r="AF372" s="13">
        <f>IF(A372="","",IFERROR(MINIFS(Follow_Ups!$G:$G,Follow_Ups!$B:$B,A372,Follow_Ups!$H:$H,"&lt;&gt;Completed",Follow_Ups!$G:$G,"&gt;="&amp;TODAY()),""))</f>
        <v/>
      </c>
      <c r="AG372" s="2">
        <f>IF(A372="","",COUNTIF(Activities!$B:$B,A372))</f>
        <v/>
      </c>
      <c r="BG372" s="2">
        <f>IF(COUNTA(BH372:BK372)=0,"",ROUND(AVERAGE(BH372:BK372),0))</f>
        <v/>
      </c>
      <c r="BH372" s="2">
        <f>IF(BL372="","",IF(BL372&gt;=90,"HOT",IF(BL372&gt;=75,"HIGH",IF(BL372&gt;=50,"MEDIUM","LOW"))))</f>
        <v/>
      </c>
      <c r="BL372" s="2">
        <f>IFERROR(BN372/12,"")</f>
        <v/>
      </c>
      <c r="BP372" s="15" t="n"/>
    </row>
    <row r="373" ht="15.75" customHeight="1" s="19">
      <c r="AD373" s="13" t="n"/>
      <c r="AE373" s="13">
        <f>IF(A373="","",IFERROR(MAXIFS(Activities!$D:$D,Activities!$B:$B,A373),""))</f>
        <v/>
      </c>
      <c r="AF373" s="13">
        <f>IF(A373="","",IFERROR(MINIFS(Follow_Ups!$G:$G,Follow_Ups!$B:$B,A373,Follow_Ups!$H:$H,"&lt;&gt;Completed",Follow_Ups!$G:$G,"&gt;="&amp;TODAY()),""))</f>
        <v/>
      </c>
      <c r="AG373" s="2">
        <f>IF(A373="","",COUNTIF(Activities!$B:$B,A373))</f>
        <v/>
      </c>
      <c r="BG373" s="2">
        <f>IF(COUNTA(BH373:BK373)=0,"",ROUND(AVERAGE(BH373:BK373),0))</f>
        <v/>
      </c>
      <c r="BH373" s="2">
        <f>IF(BL373="","",IF(BL373&gt;=90,"HOT",IF(BL373&gt;=75,"HIGH",IF(BL373&gt;=50,"MEDIUM","LOW"))))</f>
        <v/>
      </c>
      <c r="BL373" s="2">
        <f>IFERROR(BN373/12,"")</f>
        <v/>
      </c>
      <c r="BP373" s="15" t="n"/>
    </row>
    <row r="374" ht="15.75" customHeight="1" s="19">
      <c r="AD374" s="13" t="n"/>
      <c r="AE374" s="13">
        <f>IF(A374="","",IFERROR(MAXIFS(Activities!$D:$D,Activities!$B:$B,A374),""))</f>
        <v/>
      </c>
      <c r="AF374" s="13">
        <f>IF(A374="","",IFERROR(MINIFS(Follow_Ups!$G:$G,Follow_Ups!$B:$B,A374,Follow_Ups!$H:$H,"&lt;&gt;Completed",Follow_Ups!$G:$G,"&gt;="&amp;TODAY()),""))</f>
        <v/>
      </c>
      <c r="AG374" s="2">
        <f>IF(A374="","",COUNTIF(Activities!$B:$B,A374))</f>
        <v/>
      </c>
      <c r="BG374" s="2">
        <f>IF(COUNTA(BH374:BK374)=0,"",ROUND(AVERAGE(BH374:BK374),0))</f>
        <v/>
      </c>
      <c r="BH374" s="2">
        <f>IF(BL374="","",IF(BL374&gt;=90,"HOT",IF(BL374&gt;=75,"HIGH",IF(BL374&gt;=50,"MEDIUM","LOW"))))</f>
        <v/>
      </c>
      <c r="BL374" s="2">
        <f>IFERROR(BN374/12,"")</f>
        <v/>
      </c>
      <c r="BP374" s="15" t="n"/>
    </row>
    <row r="375" ht="15.75" customHeight="1" s="19">
      <c r="AD375" s="13" t="n"/>
      <c r="AE375" s="13">
        <f>IF(A375="","",IFERROR(MAXIFS(Activities!$D:$D,Activities!$B:$B,A375),""))</f>
        <v/>
      </c>
      <c r="AF375" s="13">
        <f>IF(A375="","",IFERROR(MINIFS(Follow_Ups!$G:$G,Follow_Ups!$B:$B,A375,Follow_Ups!$H:$H,"&lt;&gt;Completed",Follow_Ups!$G:$G,"&gt;="&amp;TODAY()),""))</f>
        <v/>
      </c>
      <c r="AG375" s="2">
        <f>IF(A375="","",COUNTIF(Activities!$B:$B,A375))</f>
        <v/>
      </c>
      <c r="BG375" s="2">
        <f>IF(COUNTA(BH375:BK375)=0,"",ROUND(AVERAGE(BH375:BK375),0))</f>
        <v/>
      </c>
      <c r="BH375" s="2">
        <f>IF(BL375="","",IF(BL375&gt;=90,"HOT",IF(BL375&gt;=75,"HIGH",IF(BL375&gt;=50,"MEDIUM","LOW"))))</f>
        <v/>
      </c>
      <c r="BL375" s="2">
        <f>IFERROR(BN375/12,"")</f>
        <v/>
      </c>
      <c r="BP375" s="15" t="n"/>
    </row>
    <row r="376" ht="15.75" customHeight="1" s="19">
      <c r="AD376" s="13" t="n"/>
      <c r="AE376" s="13">
        <f>IF(A376="","",IFERROR(MAXIFS(Activities!$D:$D,Activities!$B:$B,A376),""))</f>
        <v/>
      </c>
      <c r="AF376" s="13">
        <f>IF(A376="","",IFERROR(MINIFS(Follow_Ups!$G:$G,Follow_Ups!$B:$B,A376,Follow_Ups!$H:$H,"&lt;&gt;Completed",Follow_Ups!$G:$G,"&gt;="&amp;TODAY()),""))</f>
        <v/>
      </c>
      <c r="AG376" s="2">
        <f>IF(A376="","",COUNTIF(Activities!$B:$B,A376))</f>
        <v/>
      </c>
      <c r="BG376" s="2">
        <f>IF(COUNTA(BH376:BK376)=0,"",ROUND(AVERAGE(BH376:BK376),0))</f>
        <v/>
      </c>
      <c r="BH376" s="2">
        <f>IF(BL376="","",IF(BL376&gt;=90,"HOT",IF(BL376&gt;=75,"HIGH",IF(BL376&gt;=50,"MEDIUM","LOW"))))</f>
        <v/>
      </c>
      <c r="BL376" s="2">
        <f>IFERROR(BN376/12,"")</f>
        <v/>
      </c>
      <c r="BP376" s="15" t="n"/>
    </row>
    <row r="377" ht="15.75" customHeight="1" s="19">
      <c r="AD377" s="13" t="n"/>
      <c r="AE377" s="13">
        <f>IF(A377="","",IFERROR(MAXIFS(Activities!$D:$D,Activities!$B:$B,A377),""))</f>
        <v/>
      </c>
      <c r="AF377" s="13">
        <f>IF(A377="","",IFERROR(MINIFS(Follow_Ups!$G:$G,Follow_Ups!$B:$B,A377,Follow_Ups!$H:$H,"&lt;&gt;Completed",Follow_Ups!$G:$G,"&gt;="&amp;TODAY()),""))</f>
        <v/>
      </c>
      <c r="AG377" s="2">
        <f>IF(A377="","",COUNTIF(Activities!$B:$B,A377))</f>
        <v/>
      </c>
      <c r="BG377" s="2">
        <f>IF(COUNTA(BH377:BK377)=0,"",ROUND(AVERAGE(BH377:BK377),0))</f>
        <v/>
      </c>
      <c r="BH377" s="2">
        <f>IF(BL377="","",IF(BL377&gt;=90,"HOT",IF(BL377&gt;=75,"HIGH",IF(BL377&gt;=50,"MEDIUM","LOW"))))</f>
        <v/>
      </c>
      <c r="BL377" s="2">
        <f>IFERROR(BN377/12,"")</f>
        <v/>
      </c>
      <c r="BP377" s="15" t="n"/>
    </row>
    <row r="378" ht="15.75" customHeight="1" s="19">
      <c r="AD378" s="13" t="n"/>
      <c r="AE378" s="13">
        <f>IF(A378="","",IFERROR(MAXIFS(Activities!$D:$D,Activities!$B:$B,A378),""))</f>
        <v/>
      </c>
      <c r="AF378" s="13">
        <f>IF(A378="","",IFERROR(MINIFS(Follow_Ups!$G:$G,Follow_Ups!$B:$B,A378,Follow_Ups!$H:$H,"&lt;&gt;Completed",Follow_Ups!$G:$G,"&gt;="&amp;TODAY()),""))</f>
        <v/>
      </c>
      <c r="AG378" s="2">
        <f>IF(A378="","",COUNTIF(Activities!$B:$B,A378))</f>
        <v/>
      </c>
      <c r="BG378" s="2">
        <f>IF(COUNTA(BH378:BK378)=0,"",ROUND(AVERAGE(BH378:BK378),0))</f>
        <v/>
      </c>
      <c r="BH378" s="2">
        <f>IF(BL378="","",IF(BL378&gt;=90,"HOT",IF(BL378&gt;=75,"HIGH",IF(BL378&gt;=50,"MEDIUM","LOW"))))</f>
        <v/>
      </c>
      <c r="BL378" s="2">
        <f>IFERROR(BN378/12,"")</f>
        <v/>
      </c>
      <c r="BP378" s="15" t="n"/>
    </row>
    <row r="379" ht="15.75" customHeight="1" s="19">
      <c r="AD379" s="13" t="n"/>
      <c r="AE379" s="13">
        <f>IF(A379="","",IFERROR(MAXIFS(Activities!$D:$D,Activities!$B:$B,A379),""))</f>
        <v/>
      </c>
      <c r="AF379" s="13">
        <f>IF(A379="","",IFERROR(MINIFS(Follow_Ups!$G:$G,Follow_Ups!$B:$B,A379,Follow_Ups!$H:$H,"&lt;&gt;Completed",Follow_Ups!$G:$G,"&gt;="&amp;TODAY()),""))</f>
        <v/>
      </c>
      <c r="AG379" s="2">
        <f>IF(A379="","",COUNTIF(Activities!$B:$B,A379))</f>
        <v/>
      </c>
      <c r="BG379" s="2">
        <f>IF(COUNTA(BH379:BK379)=0,"",ROUND(AVERAGE(BH379:BK379),0))</f>
        <v/>
      </c>
      <c r="BH379" s="2">
        <f>IF(BL379="","",IF(BL379&gt;=90,"HOT",IF(BL379&gt;=75,"HIGH",IF(BL379&gt;=50,"MEDIUM","LOW"))))</f>
        <v/>
      </c>
      <c r="BL379" s="2">
        <f>IFERROR(BN379/12,"")</f>
        <v/>
      </c>
      <c r="BP379" s="15" t="n"/>
    </row>
    <row r="380" ht="15.75" customHeight="1" s="19">
      <c r="AD380" s="13" t="n"/>
      <c r="AE380" s="13">
        <f>IF(A380="","",IFERROR(MAXIFS(Activities!$D:$D,Activities!$B:$B,A380),""))</f>
        <v/>
      </c>
      <c r="AF380" s="13">
        <f>IF(A380="","",IFERROR(MINIFS(Follow_Ups!$G:$G,Follow_Ups!$B:$B,A380,Follow_Ups!$H:$H,"&lt;&gt;Completed",Follow_Ups!$G:$G,"&gt;="&amp;TODAY()),""))</f>
        <v/>
      </c>
      <c r="AG380" s="2">
        <f>IF(A380="","",COUNTIF(Activities!$B:$B,A380))</f>
        <v/>
      </c>
      <c r="BG380" s="2">
        <f>IF(COUNTA(BH380:BK380)=0,"",ROUND(AVERAGE(BH380:BK380),0))</f>
        <v/>
      </c>
      <c r="BH380" s="2">
        <f>IF(BL380="","",IF(BL380&gt;=90,"HOT",IF(BL380&gt;=75,"HIGH",IF(BL380&gt;=50,"MEDIUM","LOW"))))</f>
        <v/>
      </c>
      <c r="BL380" s="2">
        <f>IFERROR(BN380/12,"")</f>
        <v/>
      </c>
      <c r="BP380" s="15" t="n"/>
    </row>
    <row r="381" ht="15.75" customHeight="1" s="19">
      <c r="AD381" s="13" t="n"/>
      <c r="AE381" s="13">
        <f>IF(A381="","",IFERROR(MAXIFS(Activities!$D:$D,Activities!$B:$B,A381),""))</f>
        <v/>
      </c>
      <c r="AF381" s="13">
        <f>IF(A381="","",IFERROR(MINIFS(Follow_Ups!$G:$G,Follow_Ups!$B:$B,A381,Follow_Ups!$H:$H,"&lt;&gt;Completed",Follow_Ups!$G:$G,"&gt;="&amp;TODAY()),""))</f>
        <v/>
      </c>
      <c r="AG381" s="2">
        <f>IF(A381="","",COUNTIF(Activities!$B:$B,A381))</f>
        <v/>
      </c>
      <c r="BG381" s="2">
        <f>IF(COUNTA(BH381:BK381)=0,"",ROUND(AVERAGE(BH381:BK381),0))</f>
        <v/>
      </c>
      <c r="BH381" s="2">
        <f>IF(BL381="","",IF(BL381&gt;=90,"HOT",IF(BL381&gt;=75,"HIGH",IF(BL381&gt;=50,"MEDIUM","LOW"))))</f>
        <v/>
      </c>
      <c r="BL381" s="2">
        <f>IFERROR(BN381/12,"")</f>
        <v/>
      </c>
      <c r="BP381" s="15" t="n"/>
    </row>
    <row r="382" ht="15.75" customHeight="1" s="19">
      <c r="AD382" s="13" t="n"/>
      <c r="AE382" s="13">
        <f>IF(A382="","",IFERROR(MAXIFS(Activities!$D:$D,Activities!$B:$B,A382),""))</f>
        <v/>
      </c>
      <c r="AF382" s="13">
        <f>IF(A382="","",IFERROR(MINIFS(Follow_Ups!$G:$G,Follow_Ups!$B:$B,A382,Follow_Ups!$H:$H,"&lt;&gt;Completed",Follow_Ups!$G:$G,"&gt;="&amp;TODAY()),""))</f>
        <v/>
      </c>
      <c r="AG382" s="2">
        <f>IF(A382="","",COUNTIF(Activities!$B:$B,A382))</f>
        <v/>
      </c>
      <c r="BG382" s="2">
        <f>IF(COUNTA(BH382:BK382)=0,"",ROUND(AVERAGE(BH382:BK382),0))</f>
        <v/>
      </c>
      <c r="BH382" s="2">
        <f>IF(BL382="","",IF(BL382&gt;=90,"HOT",IF(BL382&gt;=75,"HIGH",IF(BL382&gt;=50,"MEDIUM","LOW"))))</f>
        <v/>
      </c>
      <c r="BL382" s="2">
        <f>IFERROR(BN382/12,"")</f>
        <v/>
      </c>
      <c r="BP382" s="15" t="n"/>
    </row>
    <row r="383" ht="15.75" customHeight="1" s="19">
      <c r="AD383" s="13" t="n"/>
      <c r="AE383" s="13">
        <f>IF(A383="","",IFERROR(MAXIFS(Activities!$D:$D,Activities!$B:$B,A383),""))</f>
        <v/>
      </c>
      <c r="AF383" s="13">
        <f>IF(A383="","",IFERROR(MINIFS(Follow_Ups!$G:$G,Follow_Ups!$B:$B,A383,Follow_Ups!$H:$H,"&lt;&gt;Completed",Follow_Ups!$G:$G,"&gt;="&amp;TODAY()),""))</f>
        <v/>
      </c>
      <c r="AG383" s="2">
        <f>IF(A383="","",COUNTIF(Activities!$B:$B,A383))</f>
        <v/>
      </c>
      <c r="BG383" s="2">
        <f>IF(COUNTA(BH383:BK383)=0,"",ROUND(AVERAGE(BH383:BK383),0))</f>
        <v/>
      </c>
      <c r="BH383" s="2">
        <f>IF(BL383="","",IF(BL383&gt;=90,"HOT",IF(BL383&gt;=75,"HIGH",IF(BL383&gt;=50,"MEDIUM","LOW"))))</f>
        <v/>
      </c>
      <c r="BL383" s="2">
        <f>IFERROR(BN383/12,"")</f>
        <v/>
      </c>
      <c r="BP383" s="15" t="n"/>
    </row>
    <row r="384" ht="15.75" customHeight="1" s="19">
      <c r="AD384" s="13" t="n"/>
      <c r="AE384" s="13">
        <f>IF(A384="","",IFERROR(MAXIFS(Activities!$D:$D,Activities!$B:$B,A384),""))</f>
        <v/>
      </c>
      <c r="AF384" s="13">
        <f>IF(A384="","",IFERROR(MINIFS(Follow_Ups!$G:$G,Follow_Ups!$B:$B,A384,Follow_Ups!$H:$H,"&lt;&gt;Completed",Follow_Ups!$G:$G,"&gt;="&amp;TODAY()),""))</f>
        <v/>
      </c>
      <c r="AG384" s="2">
        <f>IF(A384="","",COUNTIF(Activities!$B:$B,A384))</f>
        <v/>
      </c>
      <c r="BG384" s="2">
        <f>IF(COUNTA(BH384:BK384)=0,"",ROUND(AVERAGE(BH384:BK384),0))</f>
        <v/>
      </c>
      <c r="BH384" s="2">
        <f>IF(BL384="","",IF(BL384&gt;=90,"HOT",IF(BL384&gt;=75,"HIGH",IF(BL384&gt;=50,"MEDIUM","LOW"))))</f>
        <v/>
      </c>
      <c r="BL384" s="2">
        <f>IFERROR(BN384/12,"")</f>
        <v/>
      </c>
      <c r="BP384" s="15" t="n"/>
    </row>
    <row r="385" ht="15.75" customHeight="1" s="19">
      <c r="AD385" s="13" t="n"/>
      <c r="AE385" s="13">
        <f>IF(A385="","",IFERROR(MAXIFS(Activities!$D:$D,Activities!$B:$B,A385),""))</f>
        <v/>
      </c>
      <c r="AF385" s="13">
        <f>IF(A385="","",IFERROR(MINIFS(Follow_Ups!$G:$G,Follow_Ups!$B:$B,A385,Follow_Ups!$H:$H,"&lt;&gt;Completed",Follow_Ups!$G:$G,"&gt;="&amp;TODAY()),""))</f>
        <v/>
      </c>
      <c r="AG385" s="2">
        <f>IF(A385="","",COUNTIF(Activities!$B:$B,A385))</f>
        <v/>
      </c>
      <c r="BG385" s="2">
        <f>IF(COUNTA(BH385:BK385)=0,"",ROUND(AVERAGE(BH385:BK385),0))</f>
        <v/>
      </c>
      <c r="BH385" s="2">
        <f>IF(BL385="","",IF(BL385&gt;=90,"HOT",IF(BL385&gt;=75,"HIGH",IF(BL385&gt;=50,"MEDIUM","LOW"))))</f>
        <v/>
      </c>
      <c r="BL385" s="2">
        <f>IFERROR(BN385/12,"")</f>
        <v/>
      </c>
      <c r="BP385" s="15" t="n"/>
    </row>
    <row r="386" ht="15.75" customHeight="1" s="19">
      <c r="AD386" s="13" t="n"/>
      <c r="AE386" s="13">
        <f>IF(A386="","",IFERROR(MAXIFS(Activities!$D:$D,Activities!$B:$B,A386),""))</f>
        <v/>
      </c>
      <c r="AF386" s="13">
        <f>IF(A386="","",IFERROR(MINIFS(Follow_Ups!$G:$G,Follow_Ups!$B:$B,A386,Follow_Ups!$H:$H,"&lt;&gt;Completed",Follow_Ups!$G:$G,"&gt;="&amp;TODAY()),""))</f>
        <v/>
      </c>
      <c r="AG386" s="2">
        <f>IF(A386="","",COUNTIF(Activities!$B:$B,A386))</f>
        <v/>
      </c>
      <c r="BG386" s="2">
        <f>IF(COUNTA(BH386:BK386)=0,"",ROUND(AVERAGE(BH386:BK386),0))</f>
        <v/>
      </c>
      <c r="BH386" s="2">
        <f>IF(BL386="","",IF(BL386&gt;=90,"HOT",IF(BL386&gt;=75,"HIGH",IF(BL386&gt;=50,"MEDIUM","LOW"))))</f>
        <v/>
      </c>
      <c r="BL386" s="2">
        <f>IFERROR(BN386/12,"")</f>
        <v/>
      </c>
      <c r="BP386" s="15" t="n"/>
    </row>
    <row r="387" ht="15.75" customHeight="1" s="19">
      <c r="AD387" s="13" t="n"/>
      <c r="AE387" s="13">
        <f>IF(A387="","",IFERROR(MAXIFS(Activities!$D:$D,Activities!$B:$B,A387),""))</f>
        <v/>
      </c>
      <c r="AF387" s="13">
        <f>IF(A387="","",IFERROR(MINIFS(Follow_Ups!$G:$G,Follow_Ups!$B:$B,A387,Follow_Ups!$H:$H,"&lt;&gt;Completed",Follow_Ups!$G:$G,"&gt;="&amp;TODAY()),""))</f>
        <v/>
      </c>
      <c r="AG387" s="2">
        <f>IF(A387="","",COUNTIF(Activities!$B:$B,A387))</f>
        <v/>
      </c>
      <c r="BG387" s="2">
        <f>IF(COUNTA(BH387:BK387)=0,"",ROUND(AVERAGE(BH387:BK387),0))</f>
        <v/>
      </c>
      <c r="BH387" s="2">
        <f>IF(BL387="","",IF(BL387&gt;=90,"HOT",IF(BL387&gt;=75,"HIGH",IF(BL387&gt;=50,"MEDIUM","LOW"))))</f>
        <v/>
      </c>
      <c r="BL387" s="2">
        <f>IFERROR(BN387/12,"")</f>
        <v/>
      </c>
      <c r="BP387" s="15" t="n"/>
    </row>
    <row r="388" ht="15.75" customHeight="1" s="19">
      <c r="AD388" s="13" t="n"/>
      <c r="AE388" s="13">
        <f>IF(A388="","",IFERROR(MAXIFS(Activities!$D:$D,Activities!$B:$B,A388),""))</f>
        <v/>
      </c>
      <c r="AF388" s="13">
        <f>IF(A388="","",IFERROR(MINIFS(Follow_Ups!$G:$G,Follow_Ups!$B:$B,A388,Follow_Ups!$H:$H,"&lt;&gt;Completed",Follow_Ups!$G:$G,"&gt;="&amp;TODAY()),""))</f>
        <v/>
      </c>
      <c r="AG388" s="2">
        <f>IF(A388="","",COUNTIF(Activities!$B:$B,A388))</f>
        <v/>
      </c>
      <c r="BG388" s="2">
        <f>IF(COUNTA(BH388:BK388)=0,"",ROUND(AVERAGE(BH388:BK388),0))</f>
        <v/>
      </c>
      <c r="BH388" s="2">
        <f>IF(BL388="","",IF(BL388&gt;=90,"HOT",IF(BL388&gt;=75,"HIGH",IF(BL388&gt;=50,"MEDIUM","LOW"))))</f>
        <v/>
      </c>
      <c r="BL388" s="2">
        <f>IFERROR(BN388/12,"")</f>
        <v/>
      </c>
      <c r="BP388" s="15" t="n"/>
    </row>
    <row r="389" ht="15.75" customHeight="1" s="19">
      <c r="AD389" s="13" t="n"/>
      <c r="AE389" s="13">
        <f>IF(A389="","",IFERROR(MAXIFS(Activities!$D:$D,Activities!$B:$B,A389),""))</f>
        <v/>
      </c>
      <c r="AF389" s="13">
        <f>IF(A389="","",IFERROR(MINIFS(Follow_Ups!$G:$G,Follow_Ups!$B:$B,A389,Follow_Ups!$H:$H,"&lt;&gt;Completed",Follow_Ups!$G:$G,"&gt;="&amp;TODAY()),""))</f>
        <v/>
      </c>
      <c r="AG389" s="2">
        <f>IF(A389="","",COUNTIF(Activities!$B:$B,A389))</f>
        <v/>
      </c>
      <c r="BG389" s="2">
        <f>IF(COUNTA(BH389:BK389)=0,"",ROUND(AVERAGE(BH389:BK389),0))</f>
        <v/>
      </c>
      <c r="BH389" s="2">
        <f>IF(BL389="","",IF(BL389&gt;=90,"HOT",IF(BL389&gt;=75,"HIGH",IF(BL389&gt;=50,"MEDIUM","LOW"))))</f>
        <v/>
      </c>
      <c r="BL389" s="2">
        <f>IFERROR(BN389/12,"")</f>
        <v/>
      </c>
      <c r="BP389" s="15" t="n"/>
    </row>
    <row r="390" ht="15.75" customHeight="1" s="19">
      <c r="AD390" s="13" t="n"/>
      <c r="AE390" s="13">
        <f>IF(A390="","",IFERROR(MAXIFS(Activities!$D:$D,Activities!$B:$B,A390),""))</f>
        <v/>
      </c>
      <c r="AF390" s="13">
        <f>IF(A390="","",IFERROR(MINIFS(Follow_Ups!$G:$G,Follow_Ups!$B:$B,A390,Follow_Ups!$H:$H,"&lt;&gt;Completed",Follow_Ups!$G:$G,"&gt;="&amp;TODAY()),""))</f>
        <v/>
      </c>
      <c r="AG390" s="2">
        <f>IF(A390="","",COUNTIF(Activities!$B:$B,A390))</f>
        <v/>
      </c>
      <c r="BG390" s="2">
        <f>IF(COUNTA(BH390:BK390)=0,"",ROUND(AVERAGE(BH390:BK390),0))</f>
        <v/>
      </c>
      <c r="BH390" s="2">
        <f>IF(BL390="","",IF(BL390&gt;=90,"HOT",IF(BL390&gt;=75,"HIGH",IF(BL390&gt;=50,"MEDIUM","LOW"))))</f>
        <v/>
      </c>
      <c r="BL390" s="2">
        <f>IFERROR(BN390/12,"")</f>
        <v/>
      </c>
      <c r="BP390" s="15" t="n"/>
    </row>
    <row r="391" ht="15.75" customHeight="1" s="19">
      <c r="AD391" s="13" t="n"/>
      <c r="AE391" s="13">
        <f>IF(A391="","",IFERROR(MAXIFS(Activities!$D:$D,Activities!$B:$B,A391),""))</f>
        <v/>
      </c>
      <c r="AF391" s="13">
        <f>IF(A391="","",IFERROR(MINIFS(Follow_Ups!$G:$G,Follow_Ups!$B:$B,A391,Follow_Ups!$H:$H,"&lt;&gt;Completed",Follow_Ups!$G:$G,"&gt;="&amp;TODAY()),""))</f>
        <v/>
      </c>
      <c r="AG391" s="2">
        <f>IF(A391="","",COUNTIF(Activities!$B:$B,A391))</f>
        <v/>
      </c>
      <c r="BG391" s="2">
        <f>IF(COUNTA(BH391:BK391)=0,"",ROUND(AVERAGE(BH391:BK391),0))</f>
        <v/>
      </c>
      <c r="BH391" s="2">
        <f>IF(BL391="","",IF(BL391&gt;=90,"HOT",IF(BL391&gt;=75,"HIGH",IF(BL391&gt;=50,"MEDIUM","LOW"))))</f>
        <v/>
      </c>
      <c r="BL391" s="2">
        <f>IFERROR(BN391/12,"")</f>
        <v/>
      </c>
      <c r="BP391" s="15" t="n"/>
    </row>
    <row r="392" ht="15.75" customHeight="1" s="19">
      <c r="AD392" s="13" t="n"/>
      <c r="AE392" s="13">
        <f>IF(A392="","",IFERROR(MAXIFS(Activities!$D:$D,Activities!$B:$B,A392),""))</f>
        <v/>
      </c>
      <c r="AF392" s="13">
        <f>IF(A392="","",IFERROR(MINIFS(Follow_Ups!$G:$G,Follow_Ups!$B:$B,A392,Follow_Ups!$H:$H,"&lt;&gt;Completed",Follow_Ups!$G:$G,"&gt;="&amp;TODAY()),""))</f>
        <v/>
      </c>
      <c r="AG392" s="2">
        <f>IF(A392="","",COUNTIF(Activities!$B:$B,A392))</f>
        <v/>
      </c>
      <c r="BG392" s="2">
        <f>IF(COUNTA(BH392:BK392)=0,"",ROUND(AVERAGE(BH392:BK392),0))</f>
        <v/>
      </c>
      <c r="BH392" s="2">
        <f>IF(BL392="","",IF(BL392&gt;=90,"HOT",IF(BL392&gt;=75,"HIGH",IF(BL392&gt;=50,"MEDIUM","LOW"))))</f>
        <v/>
      </c>
      <c r="BL392" s="2">
        <f>IFERROR(BN392/12,"")</f>
        <v/>
      </c>
      <c r="BP392" s="15" t="n"/>
    </row>
    <row r="393" ht="15.75" customHeight="1" s="19">
      <c r="AD393" s="13" t="n"/>
      <c r="AE393" s="13">
        <f>IF(A393="","",IFERROR(MAXIFS(Activities!$D:$D,Activities!$B:$B,A393),""))</f>
        <v/>
      </c>
      <c r="AF393" s="13">
        <f>IF(A393="","",IFERROR(MINIFS(Follow_Ups!$G:$G,Follow_Ups!$B:$B,A393,Follow_Ups!$H:$H,"&lt;&gt;Completed",Follow_Ups!$G:$G,"&gt;="&amp;TODAY()),""))</f>
        <v/>
      </c>
      <c r="AG393" s="2">
        <f>IF(A393="","",COUNTIF(Activities!$B:$B,A393))</f>
        <v/>
      </c>
      <c r="BG393" s="2">
        <f>IF(COUNTA(BH393:BK393)=0,"",ROUND(AVERAGE(BH393:BK393),0))</f>
        <v/>
      </c>
      <c r="BH393" s="2">
        <f>IF(BL393="","",IF(BL393&gt;=90,"HOT",IF(BL393&gt;=75,"HIGH",IF(BL393&gt;=50,"MEDIUM","LOW"))))</f>
        <v/>
      </c>
      <c r="BL393" s="2">
        <f>IFERROR(BN393/12,"")</f>
        <v/>
      </c>
      <c r="BP393" s="15" t="n"/>
    </row>
    <row r="394" ht="15.75" customHeight="1" s="19">
      <c r="AD394" s="13" t="n"/>
      <c r="AE394" s="13">
        <f>IF(A394="","",IFERROR(MAXIFS(Activities!$D:$D,Activities!$B:$B,A394),""))</f>
        <v/>
      </c>
      <c r="AF394" s="13">
        <f>IF(A394="","",IFERROR(MINIFS(Follow_Ups!$G:$G,Follow_Ups!$B:$B,A394,Follow_Ups!$H:$H,"&lt;&gt;Completed",Follow_Ups!$G:$G,"&gt;="&amp;TODAY()),""))</f>
        <v/>
      </c>
      <c r="AG394" s="2">
        <f>IF(A394="","",COUNTIF(Activities!$B:$B,A394))</f>
        <v/>
      </c>
      <c r="BG394" s="2">
        <f>IF(COUNTA(BH394:BK394)=0,"",ROUND(AVERAGE(BH394:BK394),0))</f>
        <v/>
      </c>
      <c r="BH394" s="2">
        <f>IF(BL394="","",IF(BL394&gt;=90,"HOT",IF(BL394&gt;=75,"HIGH",IF(BL394&gt;=50,"MEDIUM","LOW"))))</f>
        <v/>
      </c>
      <c r="BL394" s="2">
        <f>IFERROR(BN394/12,"")</f>
        <v/>
      </c>
      <c r="BP394" s="15" t="n"/>
    </row>
    <row r="395" ht="15.75" customHeight="1" s="19">
      <c r="AD395" s="13" t="n"/>
      <c r="AE395" s="13">
        <f>IF(A395="","",IFERROR(MAXIFS(Activities!$D:$D,Activities!$B:$B,A395),""))</f>
        <v/>
      </c>
      <c r="AF395" s="13">
        <f>IF(A395="","",IFERROR(MINIFS(Follow_Ups!$G:$G,Follow_Ups!$B:$B,A395,Follow_Ups!$H:$H,"&lt;&gt;Completed",Follow_Ups!$G:$G,"&gt;="&amp;TODAY()),""))</f>
        <v/>
      </c>
      <c r="AG395" s="2">
        <f>IF(A395="","",COUNTIF(Activities!$B:$B,A395))</f>
        <v/>
      </c>
      <c r="BG395" s="2">
        <f>IF(COUNTA(BH395:BK395)=0,"",ROUND(AVERAGE(BH395:BK395),0))</f>
        <v/>
      </c>
      <c r="BH395" s="2">
        <f>IF(BL395="","",IF(BL395&gt;=90,"HOT",IF(BL395&gt;=75,"HIGH",IF(BL395&gt;=50,"MEDIUM","LOW"))))</f>
        <v/>
      </c>
      <c r="BL395" s="2">
        <f>IFERROR(BN395/12,"")</f>
        <v/>
      </c>
      <c r="BP395" s="15" t="n"/>
    </row>
    <row r="396" ht="15.75" customHeight="1" s="19">
      <c r="AD396" s="13" t="n"/>
      <c r="AE396" s="13">
        <f>IF(A396="","",IFERROR(MAXIFS(Activities!$D:$D,Activities!$B:$B,A396),""))</f>
        <v/>
      </c>
      <c r="AF396" s="13">
        <f>IF(A396="","",IFERROR(MINIFS(Follow_Ups!$G:$G,Follow_Ups!$B:$B,A396,Follow_Ups!$H:$H,"&lt;&gt;Completed",Follow_Ups!$G:$G,"&gt;="&amp;TODAY()),""))</f>
        <v/>
      </c>
      <c r="AG396" s="2">
        <f>IF(A396="","",COUNTIF(Activities!$B:$B,A396))</f>
        <v/>
      </c>
      <c r="BG396" s="2">
        <f>IF(COUNTA(BH396:BK396)=0,"",ROUND(AVERAGE(BH396:BK396),0))</f>
        <v/>
      </c>
      <c r="BH396" s="2">
        <f>IF(BL396="","",IF(BL396&gt;=90,"HOT",IF(BL396&gt;=75,"HIGH",IF(BL396&gt;=50,"MEDIUM","LOW"))))</f>
        <v/>
      </c>
      <c r="BL396" s="2">
        <f>IFERROR(BN396/12,"")</f>
        <v/>
      </c>
      <c r="BP396" s="15" t="n"/>
    </row>
    <row r="397" ht="15.75" customHeight="1" s="19">
      <c r="AD397" s="13" t="n"/>
      <c r="AE397" s="13">
        <f>IF(A397="","",IFERROR(MAXIFS(Activities!$D:$D,Activities!$B:$B,A397),""))</f>
        <v/>
      </c>
      <c r="AF397" s="13">
        <f>IF(A397="","",IFERROR(MINIFS(Follow_Ups!$G:$G,Follow_Ups!$B:$B,A397,Follow_Ups!$H:$H,"&lt;&gt;Completed",Follow_Ups!$G:$G,"&gt;="&amp;TODAY()),""))</f>
        <v/>
      </c>
      <c r="AG397" s="2">
        <f>IF(A397="","",COUNTIF(Activities!$B:$B,A397))</f>
        <v/>
      </c>
      <c r="BG397" s="2">
        <f>IF(COUNTA(BH397:BK397)=0,"",ROUND(AVERAGE(BH397:BK397),0))</f>
        <v/>
      </c>
      <c r="BH397" s="2">
        <f>IF(BL397="","",IF(BL397&gt;=90,"HOT",IF(BL397&gt;=75,"HIGH",IF(BL397&gt;=50,"MEDIUM","LOW"))))</f>
        <v/>
      </c>
      <c r="BL397" s="2">
        <f>IFERROR(BN397/12,"")</f>
        <v/>
      </c>
      <c r="BP397" s="15" t="n"/>
    </row>
    <row r="398" ht="15.75" customHeight="1" s="19">
      <c r="AD398" s="13" t="n"/>
      <c r="AE398" s="13">
        <f>IF(A398="","",IFERROR(MAXIFS(Activities!$D:$D,Activities!$B:$B,A398),""))</f>
        <v/>
      </c>
      <c r="AF398" s="13">
        <f>IF(A398="","",IFERROR(MINIFS(Follow_Ups!$G:$G,Follow_Ups!$B:$B,A398,Follow_Ups!$H:$H,"&lt;&gt;Completed",Follow_Ups!$G:$G,"&gt;="&amp;TODAY()),""))</f>
        <v/>
      </c>
      <c r="AG398" s="2">
        <f>IF(A398="","",COUNTIF(Activities!$B:$B,A398))</f>
        <v/>
      </c>
      <c r="BG398" s="2">
        <f>IF(COUNTA(BH398:BK398)=0,"",ROUND(AVERAGE(BH398:BK398),0))</f>
        <v/>
      </c>
      <c r="BH398" s="2">
        <f>IF(BL398="","",IF(BL398&gt;=90,"HOT",IF(BL398&gt;=75,"HIGH",IF(BL398&gt;=50,"MEDIUM","LOW"))))</f>
        <v/>
      </c>
      <c r="BL398" s="2">
        <f>IFERROR(BN398/12,"")</f>
        <v/>
      </c>
      <c r="BP398" s="15" t="n"/>
    </row>
    <row r="399" ht="15.75" customHeight="1" s="19">
      <c r="AD399" s="13" t="n"/>
      <c r="AE399" s="13">
        <f>IF(A399="","",IFERROR(MAXIFS(Activities!$D:$D,Activities!$B:$B,A399),""))</f>
        <v/>
      </c>
      <c r="AF399" s="13">
        <f>IF(A399="","",IFERROR(MINIFS(Follow_Ups!$G:$G,Follow_Ups!$B:$B,A399,Follow_Ups!$H:$H,"&lt;&gt;Completed",Follow_Ups!$G:$G,"&gt;="&amp;TODAY()),""))</f>
        <v/>
      </c>
      <c r="AG399" s="2">
        <f>IF(A399="","",COUNTIF(Activities!$B:$B,A399))</f>
        <v/>
      </c>
      <c r="BG399" s="2">
        <f>IF(COUNTA(BH399:BK399)=0,"",ROUND(AVERAGE(BH399:BK399),0))</f>
        <v/>
      </c>
      <c r="BH399" s="2">
        <f>IF(BL399="","",IF(BL399&gt;=90,"HOT",IF(BL399&gt;=75,"HIGH",IF(BL399&gt;=50,"MEDIUM","LOW"))))</f>
        <v/>
      </c>
      <c r="BL399" s="2">
        <f>IFERROR(BN399/12,"")</f>
        <v/>
      </c>
      <c r="BP399" s="15" t="n"/>
    </row>
    <row r="400" ht="15.75" customHeight="1" s="19">
      <c r="AD400" s="13" t="n"/>
      <c r="AE400" s="13">
        <f>IF(A400="","",IFERROR(MAXIFS(Activities!$D:$D,Activities!$B:$B,A400),""))</f>
        <v/>
      </c>
      <c r="AF400" s="13">
        <f>IF(A400="","",IFERROR(MINIFS(Follow_Ups!$G:$G,Follow_Ups!$B:$B,A400,Follow_Ups!$H:$H,"&lt;&gt;Completed",Follow_Ups!$G:$G,"&gt;="&amp;TODAY()),""))</f>
        <v/>
      </c>
      <c r="AG400" s="2">
        <f>IF(A400="","",COUNTIF(Activities!$B:$B,A400))</f>
        <v/>
      </c>
      <c r="BG400" s="2">
        <f>IF(COUNTA(BH400:BK400)=0,"",ROUND(AVERAGE(BH400:BK400),0))</f>
        <v/>
      </c>
      <c r="BH400" s="2">
        <f>IF(BL400="","",IF(BL400&gt;=90,"HOT",IF(BL400&gt;=75,"HIGH",IF(BL400&gt;=50,"MEDIUM","LOW"))))</f>
        <v/>
      </c>
      <c r="BL400" s="2">
        <f>IFERROR(BN400/12,"")</f>
        <v/>
      </c>
      <c r="BP400" s="15" t="n"/>
    </row>
    <row r="401" ht="15.75" customHeight="1" s="19">
      <c r="AD401" s="13" t="n"/>
      <c r="AE401" s="13">
        <f>IF(A401="","",IFERROR(MAXIFS(Activities!$D:$D,Activities!$B:$B,A401),""))</f>
        <v/>
      </c>
      <c r="AF401" s="13">
        <f>IF(A401="","",IFERROR(MINIFS(Follow_Ups!$G:$G,Follow_Ups!$B:$B,A401,Follow_Ups!$H:$H,"&lt;&gt;Completed",Follow_Ups!$G:$G,"&gt;="&amp;TODAY()),""))</f>
        <v/>
      </c>
      <c r="AG401" s="2">
        <f>IF(A401="","",COUNTIF(Activities!$B:$B,A401))</f>
        <v/>
      </c>
      <c r="BG401" s="2">
        <f>IF(COUNTA(BH401:BK401)=0,"",ROUND(AVERAGE(BH401:BK401),0))</f>
        <v/>
      </c>
      <c r="BH401" s="2">
        <f>IF(BL401="","",IF(BL401&gt;=90,"HOT",IF(BL401&gt;=75,"HIGH",IF(BL401&gt;=50,"MEDIUM","LOW"))))</f>
        <v/>
      </c>
      <c r="BL401" s="2">
        <f>IFERROR(BN401/12,"")</f>
        <v/>
      </c>
      <c r="BP401" s="15" t="n"/>
    </row>
    <row r="402" ht="15.75" customHeight="1" s="19">
      <c r="AD402" s="13" t="n"/>
      <c r="AE402" s="13">
        <f>IF(A402="","",IFERROR(MAXIFS(Activities!$D:$D,Activities!$B:$B,A402),""))</f>
        <v/>
      </c>
      <c r="AF402" s="13">
        <f>IF(A402="","",IFERROR(MINIFS(Follow_Ups!$G:$G,Follow_Ups!$B:$B,A402,Follow_Ups!$H:$H,"&lt;&gt;Completed",Follow_Ups!$G:$G,"&gt;="&amp;TODAY()),""))</f>
        <v/>
      </c>
      <c r="AG402" s="2">
        <f>IF(A402="","",COUNTIF(Activities!$B:$B,A402))</f>
        <v/>
      </c>
      <c r="BG402" s="2">
        <f>IF(COUNTA(BH402:BK402)=0,"",ROUND(AVERAGE(BH402:BK402),0))</f>
        <v/>
      </c>
      <c r="BH402" s="2">
        <f>IF(BL402="","",IF(BL402&gt;=90,"HOT",IF(BL402&gt;=75,"HIGH",IF(BL402&gt;=50,"MEDIUM","LOW"))))</f>
        <v/>
      </c>
      <c r="BL402" s="2">
        <f>IFERROR(BN402/12,"")</f>
        <v/>
      </c>
      <c r="BP402" s="15" t="n"/>
    </row>
    <row r="403" ht="15.75" customHeight="1" s="19">
      <c r="AD403" s="13" t="n"/>
      <c r="AE403" s="13">
        <f>IF(A403="","",IFERROR(MAXIFS(Activities!$D:$D,Activities!$B:$B,A403),""))</f>
        <v/>
      </c>
      <c r="AF403" s="13">
        <f>IF(A403="","",IFERROR(MINIFS(Follow_Ups!$G:$G,Follow_Ups!$B:$B,A403,Follow_Ups!$H:$H,"&lt;&gt;Completed",Follow_Ups!$G:$G,"&gt;="&amp;TODAY()),""))</f>
        <v/>
      </c>
      <c r="AG403" s="2">
        <f>IF(A403="","",COUNTIF(Activities!$B:$B,A403))</f>
        <v/>
      </c>
      <c r="BG403" s="2">
        <f>IF(COUNTA(BH403:BK403)=0,"",ROUND(AVERAGE(BH403:BK403),0))</f>
        <v/>
      </c>
      <c r="BH403" s="2">
        <f>IF(BL403="","",IF(BL403&gt;=90,"HOT",IF(BL403&gt;=75,"HIGH",IF(BL403&gt;=50,"MEDIUM","LOW"))))</f>
        <v/>
      </c>
      <c r="BL403" s="2">
        <f>IFERROR(BN403/12,"")</f>
        <v/>
      </c>
      <c r="BP403" s="15" t="n"/>
    </row>
    <row r="404" ht="15.75" customHeight="1" s="19">
      <c r="AD404" s="13" t="n"/>
      <c r="AE404" s="13">
        <f>IF(A404="","",IFERROR(MAXIFS(Activities!$D:$D,Activities!$B:$B,A404),""))</f>
        <v/>
      </c>
      <c r="AF404" s="13">
        <f>IF(A404="","",IFERROR(MINIFS(Follow_Ups!$G:$G,Follow_Ups!$B:$B,A404,Follow_Ups!$H:$H,"&lt;&gt;Completed",Follow_Ups!$G:$G,"&gt;="&amp;TODAY()),""))</f>
        <v/>
      </c>
      <c r="AG404" s="2">
        <f>IF(A404="","",COUNTIF(Activities!$B:$B,A404))</f>
        <v/>
      </c>
      <c r="BG404" s="2">
        <f>IF(COUNTA(BH404:BK404)=0,"",ROUND(AVERAGE(BH404:BK404),0))</f>
        <v/>
      </c>
      <c r="BH404" s="2">
        <f>IF(BL404="","",IF(BL404&gt;=90,"HOT",IF(BL404&gt;=75,"HIGH",IF(BL404&gt;=50,"MEDIUM","LOW"))))</f>
        <v/>
      </c>
      <c r="BL404" s="2">
        <f>IFERROR(BN404/12,"")</f>
        <v/>
      </c>
      <c r="BP404" s="15" t="n"/>
    </row>
    <row r="405" ht="15.75" customHeight="1" s="19">
      <c r="AD405" s="13" t="n"/>
      <c r="AE405" s="13">
        <f>IF(A405="","",IFERROR(MAXIFS(Activities!$D:$D,Activities!$B:$B,A405),""))</f>
        <v/>
      </c>
      <c r="AF405" s="13">
        <f>IF(A405="","",IFERROR(MINIFS(Follow_Ups!$G:$G,Follow_Ups!$B:$B,A405,Follow_Ups!$H:$H,"&lt;&gt;Completed",Follow_Ups!$G:$G,"&gt;="&amp;TODAY()),""))</f>
        <v/>
      </c>
      <c r="AG405" s="2">
        <f>IF(A405="","",COUNTIF(Activities!$B:$B,A405))</f>
        <v/>
      </c>
      <c r="BG405" s="2">
        <f>IF(COUNTA(BH405:BK405)=0,"",ROUND(AVERAGE(BH405:BK405),0))</f>
        <v/>
      </c>
      <c r="BH405" s="2">
        <f>IF(BL405="","",IF(BL405&gt;=90,"HOT",IF(BL405&gt;=75,"HIGH",IF(BL405&gt;=50,"MEDIUM","LOW"))))</f>
        <v/>
      </c>
      <c r="BL405" s="2">
        <f>IFERROR(BN405/12,"")</f>
        <v/>
      </c>
      <c r="BP405" s="15" t="n"/>
    </row>
    <row r="406" ht="15.75" customHeight="1" s="19">
      <c r="AD406" s="13" t="n"/>
      <c r="AE406" s="13">
        <f>IF(A406="","",IFERROR(MAXIFS(Activities!$D:$D,Activities!$B:$B,A406),""))</f>
        <v/>
      </c>
      <c r="AF406" s="13">
        <f>IF(A406="","",IFERROR(MINIFS(Follow_Ups!$G:$G,Follow_Ups!$B:$B,A406,Follow_Ups!$H:$H,"&lt;&gt;Completed",Follow_Ups!$G:$G,"&gt;="&amp;TODAY()),""))</f>
        <v/>
      </c>
      <c r="AG406" s="2">
        <f>IF(A406="","",COUNTIF(Activities!$B:$B,A406))</f>
        <v/>
      </c>
      <c r="BG406" s="2">
        <f>IF(COUNTA(BH406:BK406)=0,"",ROUND(AVERAGE(BH406:BK406),0))</f>
        <v/>
      </c>
      <c r="BH406" s="2">
        <f>IF(BL406="","",IF(BL406&gt;=90,"HOT",IF(BL406&gt;=75,"HIGH",IF(BL406&gt;=50,"MEDIUM","LOW"))))</f>
        <v/>
      </c>
      <c r="BL406" s="2">
        <f>IFERROR(BN406/12,"")</f>
        <v/>
      </c>
      <c r="BP406" s="15" t="n"/>
    </row>
    <row r="407" ht="15.75" customHeight="1" s="19">
      <c r="AD407" s="13" t="n"/>
      <c r="AE407" s="13">
        <f>IF(A407="","",IFERROR(MAXIFS(Activities!$D:$D,Activities!$B:$B,A407),""))</f>
        <v/>
      </c>
      <c r="AF407" s="13">
        <f>IF(A407="","",IFERROR(MINIFS(Follow_Ups!$G:$G,Follow_Ups!$B:$B,A407,Follow_Ups!$H:$H,"&lt;&gt;Completed",Follow_Ups!$G:$G,"&gt;="&amp;TODAY()),""))</f>
        <v/>
      </c>
      <c r="AG407" s="2">
        <f>IF(A407="","",COUNTIF(Activities!$B:$B,A407))</f>
        <v/>
      </c>
      <c r="BG407" s="2">
        <f>IF(COUNTA(BH407:BK407)=0,"",ROUND(AVERAGE(BH407:BK407),0))</f>
        <v/>
      </c>
      <c r="BH407" s="2">
        <f>IF(BL407="","",IF(BL407&gt;=90,"HOT",IF(BL407&gt;=75,"HIGH",IF(BL407&gt;=50,"MEDIUM","LOW"))))</f>
        <v/>
      </c>
      <c r="BL407" s="2">
        <f>IFERROR(BN407/12,"")</f>
        <v/>
      </c>
      <c r="BP407" s="15" t="n"/>
    </row>
    <row r="408" ht="15.75" customHeight="1" s="19">
      <c r="AD408" s="13" t="n"/>
      <c r="AE408" s="13">
        <f>IF(A408="","",IFERROR(MAXIFS(Activities!$D:$D,Activities!$B:$B,A408),""))</f>
        <v/>
      </c>
      <c r="AF408" s="13">
        <f>IF(A408="","",IFERROR(MINIFS(Follow_Ups!$G:$G,Follow_Ups!$B:$B,A408,Follow_Ups!$H:$H,"&lt;&gt;Completed",Follow_Ups!$G:$G,"&gt;="&amp;TODAY()),""))</f>
        <v/>
      </c>
      <c r="AG408" s="2">
        <f>IF(A408="","",COUNTIF(Activities!$B:$B,A408))</f>
        <v/>
      </c>
      <c r="BG408" s="2">
        <f>IF(COUNTA(BH408:BK408)=0,"",ROUND(AVERAGE(BH408:BK408),0))</f>
        <v/>
      </c>
      <c r="BH408" s="2">
        <f>IF(BL408="","",IF(BL408&gt;=90,"HOT",IF(BL408&gt;=75,"HIGH",IF(BL408&gt;=50,"MEDIUM","LOW"))))</f>
        <v/>
      </c>
      <c r="BL408" s="2">
        <f>IFERROR(BN408/12,"")</f>
        <v/>
      </c>
      <c r="BP408" s="15" t="n"/>
    </row>
    <row r="409" ht="15.75" customHeight="1" s="19">
      <c r="AD409" s="13" t="n"/>
      <c r="AE409" s="13">
        <f>IF(A409="","",IFERROR(MAXIFS(Activities!$D:$D,Activities!$B:$B,A409),""))</f>
        <v/>
      </c>
      <c r="AF409" s="13">
        <f>IF(A409="","",IFERROR(MINIFS(Follow_Ups!$G:$G,Follow_Ups!$B:$B,A409,Follow_Ups!$H:$H,"&lt;&gt;Completed",Follow_Ups!$G:$G,"&gt;="&amp;TODAY()),""))</f>
        <v/>
      </c>
      <c r="AG409" s="2">
        <f>IF(A409="","",COUNTIF(Activities!$B:$B,A409))</f>
        <v/>
      </c>
      <c r="BG409" s="2">
        <f>IF(COUNTA(BH409:BK409)=0,"",ROUND(AVERAGE(BH409:BK409),0))</f>
        <v/>
      </c>
      <c r="BH409" s="2">
        <f>IF(BL409="","",IF(BL409&gt;=90,"HOT",IF(BL409&gt;=75,"HIGH",IF(BL409&gt;=50,"MEDIUM","LOW"))))</f>
        <v/>
      </c>
      <c r="BL409" s="2">
        <f>IFERROR(BN409/12,"")</f>
        <v/>
      </c>
      <c r="BP409" s="15" t="n"/>
    </row>
    <row r="410" ht="15.75" customHeight="1" s="19">
      <c r="AD410" s="13" t="n"/>
      <c r="AE410" s="13">
        <f>IF(A410="","",IFERROR(MAXIFS(Activities!$D:$D,Activities!$B:$B,A410),""))</f>
        <v/>
      </c>
      <c r="AF410" s="13">
        <f>IF(A410="","",IFERROR(MINIFS(Follow_Ups!$G:$G,Follow_Ups!$B:$B,A410,Follow_Ups!$H:$H,"&lt;&gt;Completed",Follow_Ups!$G:$G,"&gt;="&amp;TODAY()),""))</f>
        <v/>
      </c>
      <c r="AG410" s="2">
        <f>IF(A410="","",COUNTIF(Activities!$B:$B,A410))</f>
        <v/>
      </c>
      <c r="BG410" s="2">
        <f>IF(COUNTA(BH410:BK410)=0,"",ROUND(AVERAGE(BH410:BK410),0))</f>
        <v/>
      </c>
      <c r="BH410" s="2">
        <f>IF(BL410="","",IF(BL410&gt;=90,"HOT",IF(BL410&gt;=75,"HIGH",IF(BL410&gt;=50,"MEDIUM","LOW"))))</f>
        <v/>
      </c>
      <c r="BL410" s="2">
        <f>IFERROR(BN410/12,"")</f>
        <v/>
      </c>
      <c r="BP410" s="15" t="n"/>
    </row>
    <row r="411" ht="15.75" customHeight="1" s="19">
      <c r="AD411" s="13" t="n"/>
      <c r="AE411" s="13">
        <f>IF(A411="","",IFERROR(MAXIFS(Activities!$D:$D,Activities!$B:$B,A411),""))</f>
        <v/>
      </c>
      <c r="AF411" s="13">
        <f>IF(A411="","",IFERROR(MINIFS(Follow_Ups!$G:$G,Follow_Ups!$B:$B,A411,Follow_Ups!$H:$H,"&lt;&gt;Completed",Follow_Ups!$G:$G,"&gt;="&amp;TODAY()),""))</f>
        <v/>
      </c>
      <c r="AG411" s="2">
        <f>IF(A411="","",COUNTIF(Activities!$B:$B,A411))</f>
        <v/>
      </c>
      <c r="BG411" s="2">
        <f>IF(COUNTA(BH411:BK411)=0,"",ROUND(AVERAGE(BH411:BK411),0))</f>
        <v/>
      </c>
      <c r="BH411" s="2">
        <f>IF(BL411="","",IF(BL411&gt;=90,"HOT",IF(BL411&gt;=75,"HIGH",IF(BL411&gt;=50,"MEDIUM","LOW"))))</f>
        <v/>
      </c>
      <c r="BL411" s="2">
        <f>IFERROR(BN411/12,"")</f>
        <v/>
      </c>
      <c r="BP411" s="15" t="n"/>
    </row>
    <row r="412" ht="15.75" customHeight="1" s="19">
      <c r="AD412" s="13" t="n"/>
      <c r="AE412" s="13">
        <f>IF(A412="","",IFERROR(MAXIFS(Activities!$D:$D,Activities!$B:$B,A412),""))</f>
        <v/>
      </c>
      <c r="AF412" s="13">
        <f>IF(A412="","",IFERROR(MINIFS(Follow_Ups!$G:$G,Follow_Ups!$B:$B,A412,Follow_Ups!$H:$H,"&lt;&gt;Completed",Follow_Ups!$G:$G,"&gt;="&amp;TODAY()),""))</f>
        <v/>
      </c>
      <c r="AG412" s="2">
        <f>IF(A412="","",COUNTIF(Activities!$B:$B,A412))</f>
        <v/>
      </c>
      <c r="BG412" s="2">
        <f>IF(COUNTA(BH412:BK412)=0,"",ROUND(AVERAGE(BH412:BK412),0))</f>
        <v/>
      </c>
      <c r="BH412" s="2">
        <f>IF(BL412="","",IF(BL412&gt;=90,"HOT",IF(BL412&gt;=75,"HIGH",IF(BL412&gt;=50,"MEDIUM","LOW"))))</f>
        <v/>
      </c>
      <c r="BL412" s="2">
        <f>IFERROR(BN412/12,"")</f>
        <v/>
      </c>
      <c r="BP412" s="15" t="n"/>
    </row>
    <row r="413" ht="15.75" customHeight="1" s="19">
      <c r="AD413" s="13" t="n"/>
      <c r="AE413" s="13">
        <f>IF(A413="","",IFERROR(MAXIFS(Activities!$D:$D,Activities!$B:$B,A413),""))</f>
        <v/>
      </c>
      <c r="AF413" s="13">
        <f>IF(A413="","",IFERROR(MINIFS(Follow_Ups!$G:$G,Follow_Ups!$B:$B,A413,Follow_Ups!$H:$H,"&lt;&gt;Completed",Follow_Ups!$G:$G,"&gt;="&amp;TODAY()),""))</f>
        <v/>
      </c>
      <c r="AG413" s="2">
        <f>IF(A413="","",COUNTIF(Activities!$B:$B,A413))</f>
        <v/>
      </c>
      <c r="BG413" s="2">
        <f>IF(COUNTA(BH413:BK413)=0,"",ROUND(AVERAGE(BH413:BK413),0))</f>
        <v/>
      </c>
      <c r="BH413" s="2">
        <f>IF(BL413="","",IF(BL413&gt;=90,"HOT",IF(BL413&gt;=75,"HIGH",IF(BL413&gt;=50,"MEDIUM","LOW"))))</f>
        <v/>
      </c>
      <c r="BL413" s="2">
        <f>IFERROR(BN413/12,"")</f>
        <v/>
      </c>
      <c r="BP413" s="15" t="n"/>
    </row>
    <row r="414" ht="15.75" customHeight="1" s="19">
      <c r="AD414" s="13" t="n"/>
      <c r="AE414" s="13">
        <f>IF(A414="","",IFERROR(MAXIFS(Activities!$D:$D,Activities!$B:$B,A414),""))</f>
        <v/>
      </c>
      <c r="AF414" s="13">
        <f>IF(A414="","",IFERROR(MINIFS(Follow_Ups!$G:$G,Follow_Ups!$B:$B,A414,Follow_Ups!$H:$H,"&lt;&gt;Completed",Follow_Ups!$G:$G,"&gt;="&amp;TODAY()),""))</f>
        <v/>
      </c>
      <c r="AG414" s="2">
        <f>IF(A414="","",COUNTIF(Activities!$B:$B,A414))</f>
        <v/>
      </c>
      <c r="BG414" s="2">
        <f>IF(COUNTA(BH414:BK414)=0,"",ROUND(AVERAGE(BH414:BK414),0))</f>
        <v/>
      </c>
      <c r="BH414" s="2">
        <f>IF(BL414="","",IF(BL414&gt;=90,"HOT",IF(BL414&gt;=75,"HIGH",IF(BL414&gt;=50,"MEDIUM","LOW"))))</f>
        <v/>
      </c>
      <c r="BL414" s="2">
        <f>IFERROR(BN414/12,"")</f>
        <v/>
      </c>
      <c r="BP414" s="15" t="n"/>
    </row>
    <row r="415" ht="15.75" customHeight="1" s="19">
      <c r="AD415" s="13" t="n"/>
      <c r="AE415" s="13">
        <f>IF(A415="","",IFERROR(MAXIFS(Activities!$D:$D,Activities!$B:$B,A415),""))</f>
        <v/>
      </c>
      <c r="AF415" s="13">
        <f>IF(A415="","",IFERROR(MINIFS(Follow_Ups!$G:$G,Follow_Ups!$B:$B,A415,Follow_Ups!$H:$H,"&lt;&gt;Completed",Follow_Ups!$G:$G,"&gt;="&amp;TODAY()),""))</f>
        <v/>
      </c>
      <c r="AG415" s="2">
        <f>IF(A415="","",COUNTIF(Activities!$B:$B,A415))</f>
        <v/>
      </c>
      <c r="BG415" s="2">
        <f>IF(COUNTA(BH415:BK415)=0,"",ROUND(AVERAGE(BH415:BK415),0))</f>
        <v/>
      </c>
      <c r="BH415" s="2">
        <f>IF(BL415="","",IF(BL415&gt;=90,"HOT",IF(BL415&gt;=75,"HIGH",IF(BL415&gt;=50,"MEDIUM","LOW"))))</f>
        <v/>
      </c>
      <c r="BL415" s="2">
        <f>IFERROR(BN415/12,"")</f>
        <v/>
      </c>
      <c r="BP415" s="15" t="n"/>
    </row>
    <row r="416" ht="15.75" customHeight="1" s="19">
      <c r="AD416" s="13" t="n"/>
      <c r="AE416" s="13">
        <f>IF(A416="","",IFERROR(MAXIFS(Activities!$D:$D,Activities!$B:$B,A416),""))</f>
        <v/>
      </c>
      <c r="AF416" s="13">
        <f>IF(A416="","",IFERROR(MINIFS(Follow_Ups!$G:$G,Follow_Ups!$B:$B,A416,Follow_Ups!$H:$H,"&lt;&gt;Completed",Follow_Ups!$G:$G,"&gt;="&amp;TODAY()),""))</f>
        <v/>
      </c>
      <c r="AG416" s="2">
        <f>IF(A416="","",COUNTIF(Activities!$B:$B,A416))</f>
        <v/>
      </c>
      <c r="BG416" s="2">
        <f>IF(COUNTA(BH416:BK416)=0,"",ROUND(AVERAGE(BH416:BK416),0))</f>
        <v/>
      </c>
      <c r="BH416" s="2">
        <f>IF(BL416="","",IF(BL416&gt;=90,"HOT",IF(BL416&gt;=75,"HIGH",IF(BL416&gt;=50,"MEDIUM","LOW"))))</f>
        <v/>
      </c>
      <c r="BL416" s="2">
        <f>IFERROR(BN416/12,"")</f>
        <v/>
      </c>
      <c r="BP416" s="15" t="n"/>
    </row>
    <row r="417" ht="15.75" customHeight="1" s="19">
      <c r="AD417" s="13" t="n"/>
      <c r="AE417" s="13">
        <f>IF(A417="","",IFERROR(MAXIFS(Activities!$D:$D,Activities!$B:$B,A417),""))</f>
        <v/>
      </c>
      <c r="AF417" s="13">
        <f>IF(A417="","",IFERROR(MINIFS(Follow_Ups!$G:$G,Follow_Ups!$B:$B,A417,Follow_Ups!$H:$H,"&lt;&gt;Completed",Follow_Ups!$G:$G,"&gt;="&amp;TODAY()),""))</f>
        <v/>
      </c>
      <c r="AG417" s="2">
        <f>IF(A417="","",COUNTIF(Activities!$B:$B,A417))</f>
        <v/>
      </c>
      <c r="BG417" s="2">
        <f>IF(COUNTA(BH417:BK417)=0,"",ROUND(AVERAGE(BH417:BK417),0))</f>
        <v/>
      </c>
      <c r="BH417" s="2">
        <f>IF(BL417="","",IF(BL417&gt;=90,"HOT",IF(BL417&gt;=75,"HIGH",IF(BL417&gt;=50,"MEDIUM","LOW"))))</f>
        <v/>
      </c>
      <c r="BL417" s="2">
        <f>IFERROR(BN417/12,"")</f>
        <v/>
      </c>
      <c r="BP417" s="15" t="n"/>
    </row>
    <row r="418" ht="15.75" customHeight="1" s="19">
      <c r="AD418" s="13" t="n"/>
      <c r="AE418" s="13">
        <f>IF(A418="","",IFERROR(MAXIFS(Activities!$D:$D,Activities!$B:$B,A418),""))</f>
        <v/>
      </c>
      <c r="AF418" s="13">
        <f>IF(A418="","",IFERROR(MINIFS(Follow_Ups!$G:$G,Follow_Ups!$B:$B,A418,Follow_Ups!$H:$H,"&lt;&gt;Completed",Follow_Ups!$G:$G,"&gt;="&amp;TODAY()),""))</f>
        <v/>
      </c>
      <c r="AG418" s="2">
        <f>IF(A418="","",COUNTIF(Activities!$B:$B,A418))</f>
        <v/>
      </c>
      <c r="BG418" s="2">
        <f>IF(COUNTA(BH418:BK418)=0,"",ROUND(AVERAGE(BH418:BK418),0))</f>
        <v/>
      </c>
      <c r="BH418" s="2">
        <f>IF(BL418="","",IF(BL418&gt;=90,"HOT",IF(BL418&gt;=75,"HIGH",IF(BL418&gt;=50,"MEDIUM","LOW"))))</f>
        <v/>
      </c>
      <c r="BL418" s="2">
        <f>IFERROR(BN418/12,"")</f>
        <v/>
      </c>
      <c r="BP418" s="15" t="n"/>
    </row>
    <row r="419" ht="15.75" customHeight="1" s="19">
      <c r="AD419" s="13" t="n"/>
      <c r="AE419" s="13">
        <f>IF(A419="","",IFERROR(MAXIFS(Activities!$D:$D,Activities!$B:$B,A419),""))</f>
        <v/>
      </c>
      <c r="AF419" s="13">
        <f>IF(A419="","",IFERROR(MINIFS(Follow_Ups!$G:$G,Follow_Ups!$B:$B,A419,Follow_Ups!$H:$H,"&lt;&gt;Completed",Follow_Ups!$G:$G,"&gt;="&amp;TODAY()),""))</f>
        <v/>
      </c>
      <c r="AG419" s="2">
        <f>IF(A419="","",COUNTIF(Activities!$B:$B,A419))</f>
        <v/>
      </c>
      <c r="BG419" s="2">
        <f>IF(COUNTA(BH419:BK419)=0,"",ROUND(AVERAGE(BH419:BK419),0))</f>
        <v/>
      </c>
      <c r="BH419" s="2">
        <f>IF(BL419="","",IF(BL419&gt;=90,"HOT",IF(BL419&gt;=75,"HIGH",IF(BL419&gt;=50,"MEDIUM","LOW"))))</f>
        <v/>
      </c>
      <c r="BL419" s="2">
        <f>IFERROR(BN419/12,"")</f>
        <v/>
      </c>
      <c r="BP419" s="15" t="n"/>
    </row>
    <row r="420" ht="15.75" customHeight="1" s="19">
      <c r="AD420" s="13" t="n"/>
      <c r="AE420" s="13">
        <f>IF(A420="","",IFERROR(MAXIFS(Activities!$D:$D,Activities!$B:$B,A420),""))</f>
        <v/>
      </c>
      <c r="AF420" s="13">
        <f>IF(A420="","",IFERROR(MINIFS(Follow_Ups!$G:$G,Follow_Ups!$B:$B,A420,Follow_Ups!$H:$H,"&lt;&gt;Completed",Follow_Ups!$G:$G,"&gt;="&amp;TODAY()),""))</f>
        <v/>
      </c>
      <c r="AG420" s="2">
        <f>IF(A420="","",COUNTIF(Activities!$B:$B,A420))</f>
        <v/>
      </c>
      <c r="BG420" s="2">
        <f>IF(COUNTA(BH420:BK420)=0,"",ROUND(AVERAGE(BH420:BK420),0))</f>
        <v/>
      </c>
      <c r="BH420" s="2">
        <f>IF(BL420="","",IF(BL420&gt;=90,"HOT",IF(BL420&gt;=75,"HIGH",IF(BL420&gt;=50,"MEDIUM","LOW"))))</f>
        <v/>
      </c>
      <c r="BL420" s="2">
        <f>IFERROR(BN420/12,"")</f>
        <v/>
      </c>
      <c r="BP420" s="15" t="n"/>
    </row>
    <row r="421" ht="15.75" customHeight="1" s="19">
      <c r="AD421" s="13" t="n"/>
      <c r="AE421" s="13">
        <f>IF(A421="","",IFERROR(MAXIFS(Activities!$D:$D,Activities!$B:$B,A421),""))</f>
        <v/>
      </c>
      <c r="AF421" s="13">
        <f>IF(A421="","",IFERROR(MINIFS(Follow_Ups!$G:$G,Follow_Ups!$B:$B,A421,Follow_Ups!$H:$H,"&lt;&gt;Completed",Follow_Ups!$G:$G,"&gt;="&amp;TODAY()),""))</f>
        <v/>
      </c>
      <c r="AG421" s="2">
        <f>IF(A421="","",COUNTIF(Activities!$B:$B,A421))</f>
        <v/>
      </c>
      <c r="BG421" s="2">
        <f>IF(COUNTA(BH421:BK421)=0,"",ROUND(AVERAGE(BH421:BK421),0))</f>
        <v/>
      </c>
      <c r="BH421" s="2">
        <f>IF(BL421="","",IF(BL421&gt;=90,"HOT",IF(BL421&gt;=75,"HIGH",IF(BL421&gt;=50,"MEDIUM","LOW"))))</f>
        <v/>
      </c>
      <c r="BL421" s="2">
        <f>IFERROR(BN421/12,"")</f>
        <v/>
      </c>
      <c r="BP421" s="15" t="n"/>
    </row>
    <row r="422" ht="15.75" customHeight="1" s="19">
      <c r="AD422" s="13" t="n"/>
      <c r="AE422" s="13">
        <f>IF(A422="","",IFERROR(MAXIFS(Activities!$D:$D,Activities!$B:$B,A422),""))</f>
        <v/>
      </c>
      <c r="AF422" s="13">
        <f>IF(A422="","",IFERROR(MINIFS(Follow_Ups!$G:$G,Follow_Ups!$B:$B,A422,Follow_Ups!$H:$H,"&lt;&gt;Completed",Follow_Ups!$G:$G,"&gt;="&amp;TODAY()),""))</f>
        <v/>
      </c>
      <c r="AG422" s="2">
        <f>IF(A422="","",COUNTIF(Activities!$B:$B,A422))</f>
        <v/>
      </c>
      <c r="BG422" s="2">
        <f>IF(COUNTA(BH422:BK422)=0,"",ROUND(AVERAGE(BH422:BK422),0))</f>
        <v/>
      </c>
      <c r="BH422" s="2">
        <f>IF(BL422="","",IF(BL422&gt;=90,"HOT",IF(BL422&gt;=75,"HIGH",IF(BL422&gt;=50,"MEDIUM","LOW"))))</f>
        <v/>
      </c>
      <c r="BL422" s="2">
        <f>IFERROR(BN422/12,"")</f>
        <v/>
      </c>
      <c r="BP422" s="15" t="n"/>
    </row>
    <row r="423" ht="15.75" customHeight="1" s="19">
      <c r="AD423" s="13" t="n"/>
      <c r="AE423" s="13">
        <f>IF(A423="","",IFERROR(MAXIFS(Activities!$D:$D,Activities!$B:$B,A423),""))</f>
        <v/>
      </c>
      <c r="AF423" s="13">
        <f>IF(A423="","",IFERROR(MINIFS(Follow_Ups!$G:$G,Follow_Ups!$B:$B,A423,Follow_Ups!$H:$H,"&lt;&gt;Completed",Follow_Ups!$G:$G,"&gt;="&amp;TODAY()),""))</f>
        <v/>
      </c>
      <c r="AG423" s="2">
        <f>IF(A423="","",COUNTIF(Activities!$B:$B,A423))</f>
        <v/>
      </c>
      <c r="BG423" s="2">
        <f>IF(COUNTA(BH423:BK423)=0,"",ROUND(AVERAGE(BH423:BK423),0))</f>
        <v/>
      </c>
      <c r="BH423" s="2">
        <f>IF(BL423="","",IF(BL423&gt;=90,"HOT",IF(BL423&gt;=75,"HIGH",IF(BL423&gt;=50,"MEDIUM","LOW"))))</f>
        <v/>
      </c>
      <c r="BL423" s="2">
        <f>IFERROR(BN423/12,"")</f>
        <v/>
      </c>
      <c r="BP423" s="15" t="n"/>
    </row>
    <row r="424" ht="15.75" customHeight="1" s="19">
      <c r="AD424" s="13" t="n"/>
      <c r="AE424" s="13">
        <f>IF(A424="","",IFERROR(MAXIFS(Activities!$D:$D,Activities!$B:$B,A424),""))</f>
        <v/>
      </c>
      <c r="AF424" s="13">
        <f>IF(A424="","",IFERROR(MINIFS(Follow_Ups!$G:$G,Follow_Ups!$B:$B,A424,Follow_Ups!$H:$H,"&lt;&gt;Completed",Follow_Ups!$G:$G,"&gt;="&amp;TODAY()),""))</f>
        <v/>
      </c>
      <c r="AG424" s="2">
        <f>IF(A424="","",COUNTIF(Activities!$B:$B,A424))</f>
        <v/>
      </c>
      <c r="BG424" s="2">
        <f>IF(COUNTA(BH424:BK424)=0,"",ROUND(AVERAGE(BH424:BK424),0))</f>
        <v/>
      </c>
      <c r="BH424" s="2">
        <f>IF(BL424="","",IF(BL424&gt;=90,"HOT",IF(BL424&gt;=75,"HIGH",IF(BL424&gt;=50,"MEDIUM","LOW"))))</f>
        <v/>
      </c>
      <c r="BL424" s="2">
        <f>IFERROR(BN424/12,"")</f>
        <v/>
      </c>
      <c r="BP424" s="15" t="n"/>
    </row>
    <row r="425" ht="15.75" customHeight="1" s="19">
      <c r="AD425" s="13" t="n"/>
      <c r="AE425" s="13">
        <f>IF(A425="","",IFERROR(MAXIFS(Activities!$D:$D,Activities!$B:$B,A425),""))</f>
        <v/>
      </c>
      <c r="AF425" s="13">
        <f>IF(A425="","",IFERROR(MINIFS(Follow_Ups!$G:$G,Follow_Ups!$B:$B,A425,Follow_Ups!$H:$H,"&lt;&gt;Completed",Follow_Ups!$G:$G,"&gt;="&amp;TODAY()),""))</f>
        <v/>
      </c>
      <c r="AG425" s="2">
        <f>IF(A425="","",COUNTIF(Activities!$B:$B,A425))</f>
        <v/>
      </c>
      <c r="BG425" s="2">
        <f>IF(COUNTA(BH425:BK425)=0,"",ROUND(AVERAGE(BH425:BK425),0))</f>
        <v/>
      </c>
      <c r="BH425" s="2">
        <f>IF(BL425="","",IF(BL425&gt;=90,"HOT",IF(BL425&gt;=75,"HIGH",IF(BL425&gt;=50,"MEDIUM","LOW"))))</f>
        <v/>
      </c>
      <c r="BL425" s="2">
        <f>IFERROR(BN425/12,"")</f>
        <v/>
      </c>
      <c r="BP425" s="15" t="n"/>
    </row>
    <row r="426" ht="15.75" customHeight="1" s="19">
      <c r="AD426" s="13" t="n"/>
      <c r="AE426" s="13">
        <f>IF(A426="","",IFERROR(MAXIFS(Activities!$D:$D,Activities!$B:$B,A426),""))</f>
        <v/>
      </c>
      <c r="AF426" s="13">
        <f>IF(A426="","",IFERROR(MINIFS(Follow_Ups!$G:$G,Follow_Ups!$B:$B,A426,Follow_Ups!$H:$H,"&lt;&gt;Completed",Follow_Ups!$G:$G,"&gt;="&amp;TODAY()),""))</f>
        <v/>
      </c>
      <c r="AG426" s="2">
        <f>IF(A426="","",COUNTIF(Activities!$B:$B,A426))</f>
        <v/>
      </c>
      <c r="BG426" s="2">
        <f>IF(COUNTA(BH426:BK426)=0,"",ROUND(AVERAGE(BH426:BK426),0))</f>
        <v/>
      </c>
      <c r="BH426" s="2">
        <f>IF(BL426="","",IF(BL426&gt;=90,"HOT",IF(BL426&gt;=75,"HIGH",IF(BL426&gt;=50,"MEDIUM","LOW"))))</f>
        <v/>
      </c>
      <c r="BL426" s="2">
        <f>IFERROR(BN426/12,"")</f>
        <v/>
      </c>
      <c r="BP426" s="15" t="n"/>
    </row>
    <row r="427" ht="15.75" customHeight="1" s="19">
      <c r="AD427" s="13" t="n"/>
      <c r="AE427" s="13">
        <f>IF(A427="","",IFERROR(MAXIFS(Activities!$D:$D,Activities!$B:$B,A427),""))</f>
        <v/>
      </c>
      <c r="AF427" s="13">
        <f>IF(A427="","",IFERROR(MINIFS(Follow_Ups!$G:$G,Follow_Ups!$B:$B,A427,Follow_Ups!$H:$H,"&lt;&gt;Completed",Follow_Ups!$G:$G,"&gt;="&amp;TODAY()),""))</f>
        <v/>
      </c>
      <c r="AG427" s="2">
        <f>IF(A427="","",COUNTIF(Activities!$B:$B,A427))</f>
        <v/>
      </c>
      <c r="BG427" s="2">
        <f>IF(COUNTA(BH427:BK427)=0,"",ROUND(AVERAGE(BH427:BK427),0))</f>
        <v/>
      </c>
      <c r="BH427" s="2">
        <f>IF(BL427="","",IF(BL427&gt;=90,"HOT",IF(BL427&gt;=75,"HIGH",IF(BL427&gt;=50,"MEDIUM","LOW"))))</f>
        <v/>
      </c>
      <c r="BL427" s="2">
        <f>IFERROR(BN427/12,"")</f>
        <v/>
      </c>
      <c r="BP427" s="15" t="n"/>
    </row>
    <row r="428" ht="15.75" customHeight="1" s="19">
      <c r="AD428" s="13" t="n"/>
      <c r="AE428" s="13">
        <f>IF(A428="","",IFERROR(MAXIFS(Activities!$D:$D,Activities!$B:$B,A428),""))</f>
        <v/>
      </c>
      <c r="AF428" s="13">
        <f>IF(A428="","",IFERROR(MINIFS(Follow_Ups!$G:$G,Follow_Ups!$B:$B,A428,Follow_Ups!$H:$H,"&lt;&gt;Completed",Follow_Ups!$G:$G,"&gt;="&amp;TODAY()),""))</f>
        <v/>
      </c>
      <c r="AG428" s="2">
        <f>IF(A428="","",COUNTIF(Activities!$B:$B,A428))</f>
        <v/>
      </c>
      <c r="BG428" s="2">
        <f>IF(COUNTA(BH428:BK428)=0,"",ROUND(AVERAGE(BH428:BK428),0))</f>
        <v/>
      </c>
      <c r="BH428" s="2">
        <f>IF(BL428="","",IF(BL428&gt;=90,"HOT",IF(BL428&gt;=75,"HIGH",IF(BL428&gt;=50,"MEDIUM","LOW"))))</f>
        <v/>
      </c>
      <c r="BL428" s="2">
        <f>IFERROR(BN428/12,"")</f>
        <v/>
      </c>
      <c r="BP428" s="15" t="n"/>
    </row>
    <row r="429" ht="15.75" customHeight="1" s="19">
      <c r="AD429" s="13" t="n"/>
      <c r="AE429" s="13">
        <f>IF(A429="","",IFERROR(MAXIFS(Activities!$D:$D,Activities!$B:$B,A429),""))</f>
        <v/>
      </c>
      <c r="AF429" s="13">
        <f>IF(A429="","",IFERROR(MINIFS(Follow_Ups!$G:$G,Follow_Ups!$B:$B,A429,Follow_Ups!$H:$H,"&lt;&gt;Completed",Follow_Ups!$G:$G,"&gt;="&amp;TODAY()),""))</f>
        <v/>
      </c>
      <c r="AG429" s="2">
        <f>IF(A429="","",COUNTIF(Activities!$B:$B,A429))</f>
        <v/>
      </c>
      <c r="BG429" s="2">
        <f>IF(COUNTA(BH429:BK429)=0,"",ROUND(AVERAGE(BH429:BK429),0))</f>
        <v/>
      </c>
      <c r="BH429" s="2">
        <f>IF(BL429="","",IF(BL429&gt;=90,"HOT",IF(BL429&gt;=75,"HIGH",IF(BL429&gt;=50,"MEDIUM","LOW"))))</f>
        <v/>
      </c>
      <c r="BL429" s="2">
        <f>IFERROR(BN429/12,"")</f>
        <v/>
      </c>
      <c r="BP429" s="15" t="n"/>
    </row>
    <row r="430" ht="15.75" customHeight="1" s="19">
      <c r="AD430" s="13" t="n"/>
      <c r="AE430" s="13">
        <f>IF(A430="","",IFERROR(MAXIFS(Activities!$D:$D,Activities!$B:$B,A430),""))</f>
        <v/>
      </c>
      <c r="AF430" s="13">
        <f>IF(A430="","",IFERROR(MINIFS(Follow_Ups!$G:$G,Follow_Ups!$B:$B,A430,Follow_Ups!$H:$H,"&lt;&gt;Completed",Follow_Ups!$G:$G,"&gt;="&amp;TODAY()),""))</f>
        <v/>
      </c>
      <c r="AG430" s="2">
        <f>IF(A430="","",COUNTIF(Activities!$B:$B,A430))</f>
        <v/>
      </c>
      <c r="BG430" s="2">
        <f>IF(COUNTA(BH430:BK430)=0,"",ROUND(AVERAGE(BH430:BK430),0))</f>
        <v/>
      </c>
      <c r="BH430" s="2">
        <f>IF(BL430="","",IF(BL430&gt;=90,"HOT",IF(BL430&gt;=75,"HIGH",IF(BL430&gt;=50,"MEDIUM","LOW"))))</f>
        <v/>
      </c>
      <c r="BL430" s="2">
        <f>IFERROR(BN430/12,"")</f>
        <v/>
      </c>
      <c r="BP430" s="15" t="n"/>
    </row>
    <row r="431" ht="15.75" customHeight="1" s="19">
      <c r="AD431" s="13" t="n"/>
      <c r="AE431" s="13">
        <f>IF(A431="","",IFERROR(MAXIFS(Activities!$D:$D,Activities!$B:$B,A431),""))</f>
        <v/>
      </c>
      <c r="AF431" s="13">
        <f>IF(A431="","",IFERROR(MINIFS(Follow_Ups!$G:$G,Follow_Ups!$B:$B,A431,Follow_Ups!$H:$H,"&lt;&gt;Completed",Follow_Ups!$G:$G,"&gt;="&amp;TODAY()),""))</f>
        <v/>
      </c>
      <c r="AG431" s="2">
        <f>IF(A431="","",COUNTIF(Activities!$B:$B,A431))</f>
        <v/>
      </c>
      <c r="BG431" s="2">
        <f>IF(COUNTA(BH431:BK431)=0,"",ROUND(AVERAGE(BH431:BK431),0))</f>
        <v/>
      </c>
      <c r="BH431" s="2">
        <f>IF(BL431="","",IF(BL431&gt;=90,"HOT",IF(BL431&gt;=75,"HIGH",IF(BL431&gt;=50,"MEDIUM","LOW"))))</f>
        <v/>
      </c>
      <c r="BL431" s="2">
        <f>IFERROR(BN431/12,"")</f>
        <v/>
      </c>
      <c r="BP431" s="15" t="n"/>
    </row>
    <row r="432" ht="15.75" customHeight="1" s="19">
      <c r="AD432" s="13" t="n"/>
      <c r="AE432" s="13">
        <f>IF(A432="","",IFERROR(MAXIFS(Activities!$D:$D,Activities!$B:$B,A432),""))</f>
        <v/>
      </c>
      <c r="AF432" s="13">
        <f>IF(A432="","",IFERROR(MINIFS(Follow_Ups!$G:$G,Follow_Ups!$B:$B,A432,Follow_Ups!$H:$H,"&lt;&gt;Completed",Follow_Ups!$G:$G,"&gt;="&amp;TODAY()),""))</f>
        <v/>
      </c>
      <c r="AG432" s="2">
        <f>IF(A432="","",COUNTIF(Activities!$B:$B,A432))</f>
        <v/>
      </c>
      <c r="BG432" s="2">
        <f>IF(COUNTA(BH432:BK432)=0,"",ROUND(AVERAGE(BH432:BK432),0))</f>
        <v/>
      </c>
      <c r="BH432" s="2">
        <f>IF(BL432="","",IF(BL432&gt;=90,"HOT",IF(BL432&gt;=75,"HIGH",IF(BL432&gt;=50,"MEDIUM","LOW"))))</f>
        <v/>
      </c>
      <c r="BL432" s="2">
        <f>IFERROR(BN432/12,"")</f>
        <v/>
      </c>
      <c r="BP432" s="15" t="n"/>
    </row>
    <row r="433" ht="15.75" customHeight="1" s="19">
      <c r="AD433" s="13" t="n"/>
      <c r="AE433" s="13">
        <f>IF(A433="","",IFERROR(MAXIFS(Activities!$D:$D,Activities!$B:$B,A433),""))</f>
        <v/>
      </c>
      <c r="AF433" s="13">
        <f>IF(A433="","",IFERROR(MINIFS(Follow_Ups!$G:$G,Follow_Ups!$B:$B,A433,Follow_Ups!$H:$H,"&lt;&gt;Completed",Follow_Ups!$G:$G,"&gt;="&amp;TODAY()),""))</f>
        <v/>
      </c>
      <c r="AG433" s="2">
        <f>IF(A433="","",COUNTIF(Activities!$B:$B,A433))</f>
        <v/>
      </c>
      <c r="BG433" s="2">
        <f>IF(COUNTA(BH433:BK433)=0,"",ROUND(AVERAGE(BH433:BK433),0))</f>
        <v/>
      </c>
      <c r="BH433" s="2">
        <f>IF(BL433="","",IF(BL433&gt;=90,"HOT",IF(BL433&gt;=75,"HIGH",IF(BL433&gt;=50,"MEDIUM","LOW"))))</f>
        <v/>
      </c>
      <c r="BL433" s="2">
        <f>IFERROR(BN433/12,"")</f>
        <v/>
      </c>
      <c r="BP433" s="15" t="n"/>
    </row>
    <row r="434" ht="15.75" customHeight="1" s="19">
      <c r="AD434" s="13" t="n"/>
      <c r="AE434" s="13">
        <f>IF(A434="","",IFERROR(MAXIFS(Activities!$D:$D,Activities!$B:$B,A434),""))</f>
        <v/>
      </c>
      <c r="AF434" s="13">
        <f>IF(A434="","",IFERROR(MINIFS(Follow_Ups!$G:$G,Follow_Ups!$B:$B,A434,Follow_Ups!$H:$H,"&lt;&gt;Completed",Follow_Ups!$G:$G,"&gt;="&amp;TODAY()),""))</f>
        <v/>
      </c>
      <c r="AG434" s="2">
        <f>IF(A434="","",COUNTIF(Activities!$B:$B,A434))</f>
        <v/>
      </c>
      <c r="BG434" s="2">
        <f>IF(COUNTA(BH434:BK434)=0,"",ROUND(AVERAGE(BH434:BK434),0))</f>
        <v/>
      </c>
      <c r="BH434" s="2">
        <f>IF(BL434="","",IF(BL434&gt;=90,"HOT",IF(BL434&gt;=75,"HIGH",IF(BL434&gt;=50,"MEDIUM","LOW"))))</f>
        <v/>
      </c>
      <c r="BL434" s="2">
        <f>IFERROR(BN434/12,"")</f>
        <v/>
      </c>
      <c r="BP434" s="15" t="n"/>
    </row>
    <row r="435" ht="15.75" customHeight="1" s="19">
      <c r="AD435" s="13" t="n"/>
      <c r="AE435" s="13">
        <f>IF(A435="","",IFERROR(MAXIFS(Activities!$D:$D,Activities!$B:$B,A435),""))</f>
        <v/>
      </c>
      <c r="AF435" s="13">
        <f>IF(A435="","",IFERROR(MINIFS(Follow_Ups!$G:$G,Follow_Ups!$B:$B,A435,Follow_Ups!$H:$H,"&lt;&gt;Completed",Follow_Ups!$G:$G,"&gt;="&amp;TODAY()),""))</f>
        <v/>
      </c>
      <c r="AG435" s="2">
        <f>IF(A435="","",COUNTIF(Activities!$B:$B,A435))</f>
        <v/>
      </c>
      <c r="BG435" s="2">
        <f>IF(COUNTA(BH435:BK435)=0,"",ROUND(AVERAGE(BH435:BK435),0))</f>
        <v/>
      </c>
      <c r="BH435" s="2">
        <f>IF(BL435="","",IF(BL435&gt;=90,"HOT",IF(BL435&gt;=75,"HIGH",IF(BL435&gt;=50,"MEDIUM","LOW"))))</f>
        <v/>
      </c>
      <c r="BL435" s="2">
        <f>IFERROR(BN435/12,"")</f>
        <v/>
      </c>
      <c r="BP435" s="15" t="n"/>
    </row>
    <row r="436" ht="15.75" customHeight="1" s="19">
      <c r="AD436" s="13" t="n"/>
      <c r="AE436" s="13">
        <f>IF(A436="","",IFERROR(MAXIFS(Activities!$D:$D,Activities!$B:$B,A436),""))</f>
        <v/>
      </c>
      <c r="AF436" s="13">
        <f>IF(A436="","",IFERROR(MINIFS(Follow_Ups!$G:$G,Follow_Ups!$B:$B,A436,Follow_Ups!$H:$H,"&lt;&gt;Completed",Follow_Ups!$G:$G,"&gt;="&amp;TODAY()),""))</f>
        <v/>
      </c>
      <c r="AG436" s="2">
        <f>IF(A436="","",COUNTIF(Activities!$B:$B,A436))</f>
        <v/>
      </c>
      <c r="BG436" s="2">
        <f>IF(COUNTA(BH436:BK436)=0,"",ROUND(AVERAGE(BH436:BK436),0))</f>
        <v/>
      </c>
      <c r="BH436" s="2">
        <f>IF(BL436="","",IF(BL436&gt;=90,"HOT",IF(BL436&gt;=75,"HIGH",IF(BL436&gt;=50,"MEDIUM","LOW"))))</f>
        <v/>
      </c>
      <c r="BL436" s="2">
        <f>IFERROR(BN436/12,"")</f>
        <v/>
      </c>
      <c r="BP436" s="15" t="n"/>
    </row>
    <row r="437" ht="15.75" customHeight="1" s="19">
      <c r="AD437" s="13" t="n"/>
      <c r="AE437" s="13">
        <f>IF(A437="","",IFERROR(MAXIFS(Activities!$D:$D,Activities!$B:$B,A437),""))</f>
        <v/>
      </c>
      <c r="AF437" s="13">
        <f>IF(A437="","",IFERROR(MINIFS(Follow_Ups!$G:$G,Follow_Ups!$B:$B,A437,Follow_Ups!$H:$H,"&lt;&gt;Completed",Follow_Ups!$G:$G,"&gt;="&amp;TODAY()),""))</f>
        <v/>
      </c>
      <c r="AG437" s="2">
        <f>IF(A437="","",COUNTIF(Activities!$B:$B,A437))</f>
        <v/>
      </c>
      <c r="BG437" s="2">
        <f>IF(COUNTA(BH437:BK437)=0,"",ROUND(AVERAGE(BH437:BK437),0))</f>
        <v/>
      </c>
      <c r="BH437" s="2">
        <f>IF(BL437="","",IF(BL437&gt;=90,"HOT",IF(BL437&gt;=75,"HIGH",IF(BL437&gt;=50,"MEDIUM","LOW"))))</f>
        <v/>
      </c>
      <c r="BL437" s="2">
        <f>IFERROR(BN437/12,"")</f>
        <v/>
      </c>
      <c r="BP437" s="15" t="n"/>
    </row>
    <row r="438" ht="15.75" customHeight="1" s="19">
      <c r="AD438" s="13" t="n"/>
      <c r="AE438" s="13">
        <f>IF(A438="","",IFERROR(MAXIFS(Activities!$D:$D,Activities!$B:$B,A438),""))</f>
        <v/>
      </c>
      <c r="AF438" s="13">
        <f>IF(A438="","",IFERROR(MINIFS(Follow_Ups!$G:$G,Follow_Ups!$B:$B,A438,Follow_Ups!$H:$H,"&lt;&gt;Completed",Follow_Ups!$G:$G,"&gt;="&amp;TODAY()),""))</f>
        <v/>
      </c>
      <c r="AG438" s="2">
        <f>IF(A438="","",COUNTIF(Activities!$B:$B,A438))</f>
        <v/>
      </c>
      <c r="BG438" s="2">
        <f>IF(COUNTA(BH438:BK438)=0,"",ROUND(AVERAGE(BH438:BK438),0))</f>
        <v/>
      </c>
      <c r="BH438" s="2">
        <f>IF(BL438="","",IF(BL438&gt;=90,"HOT",IF(BL438&gt;=75,"HIGH",IF(BL438&gt;=50,"MEDIUM","LOW"))))</f>
        <v/>
      </c>
      <c r="BL438" s="2">
        <f>IFERROR(BN438/12,"")</f>
        <v/>
      </c>
      <c r="BP438" s="15" t="n"/>
    </row>
    <row r="439" ht="15.75" customHeight="1" s="19">
      <c r="AD439" s="13" t="n"/>
      <c r="AE439" s="13">
        <f>IF(A439="","",IFERROR(MAXIFS(Activities!$D:$D,Activities!$B:$B,A439),""))</f>
        <v/>
      </c>
      <c r="AF439" s="13">
        <f>IF(A439="","",IFERROR(MINIFS(Follow_Ups!$G:$G,Follow_Ups!$B:$B,A439,Follow_Ups!$H:$H,"&lt;&gt;Completed",Follow_Ups!$G:$G,"&gt;="&amp;TODAY()),""))</f>
        <v/>
      </c>
      <c r="AG439" s="2">
        <f>IF(A439="","",COUNTIF(Activities!$B:$B,A439))</f>
        <v/>
      </c>
      <c r="BG439" s="2">
        <f>IF(COUNTA(BH439:BK439)=0,"",ROUND(AVERAGE(BH439:BK439),0))</f>
        <v/>
      </c>
      <c r="BH439" s="2">
        <f>IF(BL439="","",IF(BL439&gt;=90,"HOT",IF(BL439&gt;=75,"HIGH",IF(BL439&gt;=50,"MEDIUM","LOW"))))</f>
        <v/>
      </c>
      <c r="BL439" s="2">
        <f>IFERROR(BN439/12,"")</f>
        <v/>
      </c>
      <c r="BP439" s="15" t="n"/>
    </row>
    <row r="440" ht="15.75" customHeight="1" s="19">
      <c r="AD440" s="13" t="n"/>
      <c r="AE440" s="13">
        <f>IF(A440="","",IFERROR(MAXIFS(Activities!$D:$D,Activities!$B:$B,A440),""))</f>
        <v/>
      </c>
      <c r="AF440" s="13">
        <f>IF(A440="","",IFERROR(MINIFS(Follow_Ups!$G:$G,Follow_Ups!$B:$B,A440,Follow_Ups!$H:$H,"&lt;&gt;Completed",Follow_Ups!$G:$G,"&gt;="&amp;TODAY()),""))</f>
        <v/>
      </c>
      <c r="AG440" s="2">
        <f>IF(A440="","",COUNTIF(Activities!$B:$B,A440))</f>
        <v/>
      </c>
      <c r="BG440" s="2">
        <f>IF(COUNTA(BH440:BK440)=0,"",ROUND(AVERAGE(BH440:BK440),0))</f>
        <v/>
      </c>
      <c r="BH440" s="2">
        <f>IF(BL440="","",IF(BL440&gt;=90,"HOT",IF(BL440&gt;=75,"HIGH",IF(BL440&gt;=50,"MEDIUM","LOW"))))</f>
        <v/>
      </c>
      <c r="BL440" s="2">
        <f>IFERROR(BN440/12,"")</f>
        <v/>
      </c>
      <c r="BP440" s="15" t="n"/>
    </row>
    <row r="441" ht="15.75" customHeight="1" s="19">
      <c r="AD441" s="13" t="n"/>
      <c r="AE441" s="13">
        <f>IF(A441="","",IFERROR(MAXIFS(Activities!$D:$D,Activities!$B:$B,A441),""))</f>
        <v/>
      </c>
      <c r="AF441" s="13">
        <f>IF(A441="","",IFERROR(MINIFS(Follow_Ups!$G:$G,Follow_Ups!$B:$B,A441,Follow_Ups!$H:$H,"&lt;&gt;Completed",Follow_Ups!$G:$G,"&gt;="&amp;TODAY()),""))</f>
        <v/>
      </c>
      <c r="AG441" s="2">
        <f>IF(A441="","",COUNTIF(Activities!$B:$B,A441))</f>
        <v/>
      </c>
      <c r="BG441" s="2">
        <f>IF(COUNTA(BH441:BK441)=0,"",ROUND(AVERAGE(BH441:BK441),0))</f>
        <v/>
      </c>
      <c r="BH441" s="2">
        <f>IF(BL441="","",IF(BL441&gt;=90,"HOT",IF(BL441&gt;=75,"HIGH",IF(BL441&gt;=50,"MEDIUM","LOW"))))</f>
        <v/>
      </c>
      <c r="BL441" s="2">
        <f>IFERROR(BN441/12,"")</f>
        <v/>
      </c>
      <c r="BP441" s="15" t="n"/>
    </row>
    <row r="442" ht="15.75" customHeight="1" s="19">
      <c r="AD442" s="13" t="n"/>
      <c r="AE442" s="13">
        <f>IF(A442="","",IFERROR(MAXIFS(Activities!$D:$D,Activities!$B:$B,A442),""))</f>
        <v/>
      </c>
      <c r="AF442" s="13">
        <f>IF(A442="","",IFERROR(MINIFS(Follow_Ups!$G:$G,Follow_Ups!$B:$B,A442,Follow_Ups!$H:$H,"&lt;&gt;Completed",Follow_Ups!$G:$G,"&gt;="&amp;TODAY()),""))</f>
        <v/>
      </c>
      <c r="AG442" s="2">
        <f>IF(A442="","",COUNTIF(Activities!$B:$B,A442))</f>
        <v/>
      </c>
      <c r="BG442" s="2">
        <f>IF(COUNTA(BH442:BK442)=0,"",ROUND(AVERAGE(BH442:BK442),0))</f>
        <v/>
      </c>
      <c r="BH442" s="2">
        <f>IF(BL442="","",IF(BL442&gt;=90,"HOT",IF(BL442&gt;=75,"HIGH",IF(BL442&gt;=50,"MEDIUM","LOW"))))</f>
        <v/>
      </c>
      <c r="BL442" s="2">
        <f>IFERROR(BN442/12,"")</f>
        <v/>
      </c>
      <c r="BP442" s="15" t="n"/>
    </row>
    <row r="443" ht="15.75" customHeight="1" s="19">
      <c r="AD443" s="13" t="n"/>
      <c r="AE443" s="13">
        <f>IF(A443="","",IFERROR(MAXIFS(Activities!$D:$D,Activities!$B:$B,A443),""))</f>
        <v/>
      </c>
      <c r="AF443" s="13">
        <f>IF(A443="","",IFERROR(MINIFS(Follow_Ups!$G:$G,Follow_Ups!$B:$B,A443,Follow_Ups!$H:$H,"&lt;&gt;Completed",Follow_Ups!$G:$G,"&gt;="&amp;TODAY()),""))</f>
        <v/>
      </c>
      <c r="AG443" s="2">
        <f>IF(A443="","",COUNTIF(Activities!$B:$B,A443))</f>
        <v/>
      </c>
      <c r="BG443" s="2">
        <f>IF(COUNTA(BH443:BK443)=0,"",ROUND(AVERAGE(BH443:BK443),0))</f>
        <v/>
      </c>
      <c r="BH443" s="2">
        <f>IF(BL443="","",IF(BL443&gt;=90,"HOT",IF(BL443&gt;=75,"HIGH",IF(BL443&gt;=50,"MEDIUM","LOW"))))</f>
        <v/>
      </c>
      <c r="BL443" s="2">
        <f>IFERROR(BN443/12,"")</f>
        <v/>
      </c>
      <c r="BP443" s="15" t="n"/>
    </row>
    <row r="444" ht="15.75" customHeight="1" s="19">
      <c r="AD444" s="13" t="n"/>
      <c r="AE444" s="13">
        <f>IF(A444="","",IFERROR(MAXIFS(Activities!$D:$D,Activities!$B:$B,A444),""))</f>
        <v/>
      </c>
      <c r="AF444" s="13">
        <f>IF(A444="","",IFERROR(MINIFS(Follow_Ups!$G:$G,Follow_Ups!$B:$B,A444,Follow_Ups!$H:$H,"&lt;&gt;Completed",Follow_Ups!$G:$G,"&gt;="&amp;TODAY()),""))</f>
        <v/>
      </c>
      <c r="AG444" s="2">
        <f>IF(A444="","",COUNTIF(Activities!$B:$B,A444))</f>
        <v/>
      </c>
      <c r="BG444" s="2">
        <f>IF(COUNTA(BH444:BK444)=0,"",ROUND(AVERAGE(BH444:BK444),0))</f>
        <v/>
      </c>
      <c r="BH444" s="2">
        <f>IF(BL444="","",IF(BL444&gt;=90,"HOT",IF(BL444&gt;=75,"HIGH",IF(BL444&gt;=50,"MEDIUM","LOW"))))</f>
        <v/>
      </c>
      <c r="BL444" s="2">
        <f>IFERROR(BN444/12,"")</f>
        <v/>
      </c>
      <c r="BP444" s="15" t="n"/>
    </row>
    <row r="445" ht="15.75" customHeight="1" s="19">
      <c r="AD445" s="13" t="n"/>
      <c r="AE445" s="13">
        <f>IF(A445="","",IFERROR(MAXIFS(Activities!$D:$D,Activities!$B:$B,A445),""))</f>
        <v/>
      </c>
      <c r="AF445" s="13">
        <f>IF(A445="","",IFERROR(MINIFS(Follow_Ups!$G:$G,Follow_Ups!$B:$B,A445,Follow_Ups!$H:$H,"&lt;&gt;Completed",Follow_Ups!$G:$G,"&gt;="&amp;TODAY()),""))</f>
        <v/>
      </c>
      <c r="AG445" s="2">
        <f>IF(A445="","",COUNTIF(Activities!$B:$B,A445))</f>
        <v/>
      </c>
      <c r="BG445" s="2">
        <f>IF(COUNTA(BH445:BK445)=0,"",ROUND(AVERAGE(BH445:BK445),0))</f>
        <v/>
      </c>
      <c r="BH445" s="2">
        <f>IF(BL445="","",IF(BL445&gt;=90,"HOT",IF(BL445&gt;=75,"HIGH",IF(BL445&gt;=50,"MEDIUM","LOW"))))</f>
        <v/>
      </c>
      <c r="BL445" s="2">
        <f>IFERROR(BN445/12,"")</f>
        <v/>
      </c>
      <c r="BP445" s="15" t="n"/>
    </row>
    <row r="446" ht="15.75" customHeight="1" s="19">
      <c r="AD446" s="13" t="n"/>
      <c r="AE446" s="13">
        <f>IF(A446="","",IFERROR(MAXIFS(Activities!$D:$D,Activities!$B:$B,A446),""))</f>
        <v/>
      </c>
      <c r="AF446" s="13">
        <f>IF(A446="","",IFERROR(MINIFS(Follow_Ups!$G:$G,Follow_Ups!$B:$B,A446,Follow_Ups!$H:$H,"&lt;&gt;Completed",Follow_Ups!$G:$G,"&gt;="&amp;TODAY()),""))</f>
        <v/>
      </c>
      <c r="AG446" s="2">
        <f>IF(A446="","",COUNTIF(Activities!$B:$B,A446))</f>
        <v/>
      </c>
      <c r="BG446" s="2">
        <f>IF(COUNTA(BH446:BK446)=0,"",ROUND(AVERAGE(BH446:BK446),0))</f>
        <v/>
      </c>
      <c r="BH446" s="2">
        <f>IF(BL446="","",IF(BL446&gt;=90,"HOT",IF(BL446&gt;=75,"HIGH",IF(BL446&gt;=50,"MEDIUM","LOW"))))</f>
        <v/>
      </c>
      <c r="BL446" s="2">
        <f>IFERROR(BN446/12,"")</f>
        <v/>
      </c>
      <c r="BP446" s="15" t="n"/>
    </row>
    <row r="447" ht="15.75" customHeight="1" s="19">
      <c r="AD447" s="13" t="n"/>
      <c r="AE447" s="13">
        <f>IF(A447="","",IFERROR(MAXIFS(Activities!$D:$D,Activities!$B:$B,A447),""))</f>
        <v/>
      </c>
      <c r="AF447" s="13">
        <f>IF(A447="","",IFERROR(MINIFS(Follow_Ups!$G:$G,Follow_Ups!$B:$B,A447,Follow_Ups!$H:$H,"&lt;&gt;Completed",Follow_Ups!$G:$G,"&gt;="&amp;TODAY()),""))</f>
        <v/>
      </c>
      <c r="AG447" s="2">
        <f>IF(A447="","",COUNTIF(Activities!$B:$B,A447))</f>
        <v/>
      </c>
      <c r="BG447" s="2">
        <f>IF(COUNTA(BH447:BK447)=0,"",ROUND(AVERAGE(BH447:BK447),0))</f>
        <v/>
      </c>
      <c r="BH447" s="2">
        <f>IF(BL447="","",IF(BL447&gt;=90,"HOT",IF(BL447&gt;=75,"HIGH",IF(BL447&gt;=50,"MEDIUM","LOW"))))</f>
        <v/>
      </c>
      <c r="BL447" s="2">
        <f>IFERROR(BN447/12,"")</f>
        <v/>
      </c>
      <c r="BP447" s="15" t="n"/>
    </row>
    <row r="448" ht="15.75" customHeight="1" s="19">
      <c r="AD448" s="13" t="n"/>
      <c r="AE448" s="13">
        <f>IF(A448="","",IFERROR(MAXIFS(Activities!$D:$D,Activities!$B:$B,A448),""))</f>
        <v/>
      </c>
      <c r="AF448" s="13">
        <f>IF(A448="","",IFERROR(MINIFS(Follow_Ups!$G:$G,Follow_Ups!$B:$B,A448,Follow_Ups!$H:$H,"&lt;&gt;Completed",Follow_Ups!$G:$G,"&gt;="&amp;TODAY()),""))</f>
        <v/>
      </c>
      <c r="AG448" s="2">
        <f>IF(A448="","",COUNTIF(Activities!$B:$B,A448))</f>
        <v/>
      </c>
      <c r="BG448" s="2">
        <f>IF(COUNTA(BH448:BK448)=0,"",ROUND(AVERAGE(BH448:BK448),0))</f>
        <v/>
      </c>
      <c r="BH448" s="2">
        <f>IF(BL448="","",IF(BL448&gt;=90,"HOT",IF(BL448&gt;=75,"HIGH",IF(BL448&gt;=50,"MEDIUM","LOW"))))</f>
        <v/>
      </c>
      <c r="BL448" s="2">
        <f>IFERROR(BN448/12,"")</f>
        <v/>
      </c>
      <c r="BP448" s="15" t="n"/>
    </row>
    <row r="449" ht="15.75" customHeight="1" s="19">
      <c r="AD449" s="13" t="n"/>
      <c r="AE449" s="13">
        <f>IF(A449="","",IFERROR(MAXIFS(Activities!$D:$D,Activities!$B:$B,A449),""))</f>
        <v/>
      </c>
      <c r="AF449" s="13">
        <f>IF(A449="","",IFERROR(MINIFS(Follow_Ups!$G:$G,Follow_Ups!$B:$B,A449,Follow_Ups!$H:$H,"&lt;&gt;Completed",Follow_Ups!$G:$G,"&gt;="&amp;TODAY()),""))</f>
        <v/>
      </c>
      <c r="AG449" s="2">
        <f>IF(A449="","",COUNTIF(Activities!$B:$B,A449))</f>
        <v/>
      </c>
      <c r="BG449" s="2">
        <f>IF(COUNTA(BH449:BK449)=0,"",ROUND(AVERAGE(BH449:BK449),0))</f>
        <v/>
      </c>
      <c r="BH449" s="2">
        <f>IF(BL449="","",IF(BL449&gt;=90,"HOT",IF(BL449&gt;=75,"HIGH",IF(BL449&gt;=50,"MEDIUM","LOW"))))</f>
        <v/>
      </c>
      <c r="BL449" s="2">
        <f>IFERROR(BN449/12,"")</f>
        <v/>
      </c>
      <c r="BP449" s="15" t="n"/>
    </row>
    <row r="450" ht="15.75" customHeight="1" s="19">
      <c r="AD450" s="13" t="n"/>
      <c r="AE450" s="13">
        <f>IF(A450="","",IFERROR(MAXIFS(Activities!$D:$D,Activities!$B:$B,A450),""))</f>
        <v/>
      </c>
      <c r="AF450" s="13">
        <f>IF(A450="","",IFERROR(MINIFS(Follow_Ups!$G:$G,Follow_Ups!$B:$B,A450,Follow_Ups!$H:$H,"&lt;&gt;Completed",Follow_Ups!$G:$G,"&gt;="&amp;TODAY()),""))</f>
        <v/>
      </c>
      <c r="AG450" s="2">
        <f>IF(A450="","",COUNTIF(Activities!$B:$B,A450))</f>
        <v/>
      </c>
      <c r="BG450" s="2">
        <f>IF(COUNTA(BH450:BK450)=0,"",ROUND(AVERAGE(BH450:BK450),0))</f>
        <v/>
      </c>
      <c r="BH450" s="2">
        <f>IF(BL450="","",IF(BL450&gt;=90,"HOT",IF(BL450&gt;=75,"HIGH",IF(BL450&gt;=50,"MEDIUM","LOW"))))</f>
        <v/>
      </c>
      <c r="BL450" s="2">
        <f>IFERROR(BN450/12,"")</f>
        <v/>
      </c>
      <c r="BP450" s="15" t="n"/>
    </row>
    <row r="451" ht="15.75" customHeight="1" s="19">
      <c r="AD451" s="13" t="n"/>
      <c r="AE451" s="13">
        <f>IF(A451="","",IFERROR(MAXIFS(Activities!$D:$D,Activities!$B:$B,A451),""))</f>
        <v/>
      </c>
      <c r="AF451" s="13">
        <f>IF(A451="","",IFERROR(MINIFS(Follow_Ups!$G:$G,Follow_Ups!$B:$B,A451,Follow_Ups!$H:$H,"&lt;&gt;Completed",Follow_Ups!$G:$G,"&gt;="&amp;TODAY()),""))</f>
        <v/>
      </c>
      <c r="AG451" s="2">
        <f>IF(A451="","",COUNTIF(Activities!$B:$B,A451))</f>
        <v/>
      </c>
      <c r="BG451" s="2">
        <f>IF(COUNTA(BH451:BK451)=0,"",ROUND(AVERAGE(BH451:BK451),0))</f>
        <v/>
      </c>
      <c r="BH451" s="2">
        <f>IF(BL451="","",IF(BL451&gt;=90,"HOT",IF(BL451&gt;=75,"HIGH",IF(BL451&gt;=50,"MEDIUM","LOW"))))</f>
        <v/>
      </c>
      <c r="BL451" s="2">
        <f>IFERROR(BN451/12,"")</f>
        <v/>
      </c>
      <c r="BP451" s="15" t="n"/>
    </row>
    <row r="452" ht="15.75" customHeight="1" s="19">
      <c r="AD452" s="13" t="n"/>
      <c r="AE452" s="13">
        <f>IF(A452="","",IFERROR(MAXIFS(Activities!$D:$D,Activities!$B:$B,A452),""))</f>
        <v/>
      </c>
      <c r="AF452" s="13">
        <f>IF(A452="","",IFERROR(MINIFS(Follow_Ups!$G:$G,Follow_Ups!$B:$B,A452,Follow_Ups!$H:$H,"&lt;&gt;Completed",Follow_Ups!$G:$G,"&gt;="&amp;TODAY()),""))</f>
        <v/>
      </c>
      <c r="AG452" s="2">
        <f>IF(A452="","",COUNTIF(Activities!$B:$B,A452))</f>
        <v/>
      </c>
      <c r="BG452" s="2">
        <f>IF(COUNTA(BH452:BK452)=0,"",ROUND(AVERAGE(BH452:BK452),0))</f>
        <v/>
      </c>
      <c r="BH452" s="2">
        <f>IF(BL452="","",IF(BL452&gt;=90,"HOT",IF(BL452&gt;=75,"HIGH",IF(BL452&gt;=50,"MEDIUM","LOW"))))</f>
        <v/>
      </c>
      <c r="BL452" s="2">
        <f>IFERROR(BN452/12,"")</f>
        <v/>
      </c>
      <c r="BP452" s="15" t="n"/>
    </row>
    <row r="453" ht="15.75" customHeight="1" s="19">
      <c r="AD453" s="13" t="n"/>
      <c r="AE453" s="13">
        <f>IF(A453="","",IFERROR(MAXIFS(Activities!$D:$D,Activities!$B:$B,A453),""))</f>
        <v/>
      </c>
      <c r="AF453" s="13">
        <f>IF(A453="","",IFERROR(MINIFS(Follow_Ups!$G:$G,Follow_Ups!$B:$B,A453,Follow_Ups!$H:$H,"&lt;&gt;Completed",Follow_Ups!$G:$G,"&gt;="&amp;TODAY()),""))</f>
        <v/>
      </c>
      <c r="AG453" s="2">
        <f>IF(A453="","",COUNTIF(Activities!$B:$B,A453))</f>
        <v/>
      </c>
      <c r="BG453" s="2">
        <f>IF(COUNTA(BH453:BK453)=0,"",ROUND(AVERAGE(BH453:BK453),0))</f>
        <v/>
      </c>
      <c r="BH453" s="2">
        <f>IF(BL453="","",IF(BL453&gt;=90,"HOT",IF(BL453&gt;=75,"HIGH",IF(BL453&gt;=50,"MEDIUM","LOW"))))</f>
        <v/>
      </c>
      <c r="BL453" s="2">
        <f>IFERROR(BN453/12,"")</f>
        <v/>
      </c>
      <c r="BP453" s="15" t="n"/>
    </row>
    <row r="454" ht="15.75" customHeight="1" s="19">
      <c r="AD454" s="13" t="n"/>
      <c r="AE454" s="13">
        <f>IF(A454="","",IFERROR(MAXIFS(Activities!$D:$D,Activities!$B:$B,A454),""))</f>
        <v/>
      </c>
      <c r="AF454" s="13">
        <f>IF(A454="","",IFERROR(MINIFS(Follow_Ups!$G:$G,Follow_Ups!$B:$B,A454,Follow_Ups!$H:$H,"&lt;&gt;Completed",Follow_Ups!$G:$G,"&gt;="&amp;TODAY()),""))</f>
        <v/>
      </c>
      <c r="AG454" s="2">
        <f>IF(A454="","",COUNTIF(Activities!$B:$B,A454))</f>
        <v/>
      </c>
      <c r="BG454" s="2">
        <f>IF(COUNTA(BH454:BK454)=0,"",ROUND(AVERAGE(BH454:BK454),0))</f>
        <v/>
      </c>
      <c r="BH454" s="2">
        <f>IF(BL454="","",IF(BL454&gt;=90,"HOT",IF(BL454&gt;=75,"HIGH",IF(BL454&gt;=50,"MEDIUM","LOW"))))</f>
        <v/>
      </c>
      <c r="BL454" s="2">
        <f>IFERROR(BN454/12,"")</f>
        <v/>
      </c>
      <c r="BP454" s="15" t="n"/>
    </row>
    <row r="455" ht="15.75" customHeight="1" s="19">
      <c r="AD455" s="13" t="n"/>
      <c r="AE455" s="13">
        <f>IF(A455="","",IFERROR(MAXIFS(Activities!$D:$D,Activities!$B:$B,A455),""))</f>
        <v/>
      </c>
      <c r="AF455" s="13">
        <f>IF(A455="","",IFERROR(MINIFS(Follow_Ups!$G:$G,Follow_Ups!$B:$B,A455,Follow_Ups!$H:$H,"&lt;&gt;Completed",Follow_Ups!$G:$G,"&gt;="&amp;TODAY()),""))</f>
        <v/>
      </c>
      <c r="AG455" s="2">
        <f>IF(A455="","",COUNTIF(Activities!$B:$B,A455))</f>
        <v/>
      </c>
      <c r="BG455" s="2">
        <f>IF(COUNTA(BH455:BK455)=0,"",ROUND(AVERAGE(BH455:BK455),0))</f>
        <v/>
      </c>
      <c r="BH455" s="2">
        <f>IF(BL455="","",IF(BL455&gt;=90,"HOT",IF(BL455&gt;=75,"HIGH",IF(BL455&gt;=50,"MEDIUM","LOW"))))</f>
        <v/>
      </c>
      <c r="BL455" s="2">
        <f>IFERROR(BN455/12,"")</f>
        <v/>
      </c>
      <c r="BP455" s="15" t="n"/>
    </row>
    <row r="456" ht="15.75" customHeight="1" s="19">
      <c r="AD456" s="13" t="n"/>
      <c r="AE456" s="13">
        <f>IF(A456="","",IFERROR(MAXIFS(Activities!$D:$D,Activities!$B:$B,A456),""))</f>
        <v/>
      </c>
      <c r="AF456" s="13">
        <f>IF(A456="","",IFERROR(MINIFS(Follow_Ups!$G:$G,Follow_Ups!$B:$B,A456,Follow_Ups!$H:$H,"&lt;&gt;Completed",Follow_Ups!$G:$G,"&gt;="&amp;TODAY()),""))</f>
        <v/>
      </c>
      <c r="AG456" s="2">
        <f>IF(A456="","",COUNTIF(Activities!$B:$B,A456))</f>
        <v/>
      </c>
      <c r="BG456" s="2">
        <f>IF(COUNTA(BH456:BK456)=0,"",ROUND(AVERAGE(BH456:BK456),0))</f>
        <v/>
      </c>
      <c r="BH456" s="2">
        <f>IF(BL456="","",IF(BL456&gt;=90,"HOT",IF(BL456&gt;=75,"HIGH",IF(BL456&gt;=50,"MEDIUM","LOW"))))</f>
        <v/>
      </c>
      <c r="BL456" s="2">
        <f>IFERROR(BN456/12,"")</f>
        <v/>
      </c>
      <c r="BP456" s="15" t="n"/>
    </row>
    <row r="457" ht="15.75" customHeight="1" s="19">
      <c r="AD457" s="13" t="n"/>
      <c r="AE457" s="13">
        <f>IF(A457="","",IFERROR(MAXIFS(Activities!$D:$D,Activities!$B:$B,A457),""))</f>
        <v/>
      </c>
      <c r="AF457" s="13">
        <f>IF(A457="","",IFERROR(MINIFS(Follow_Ups!$G:$G,Follow_Ups!$B:$B,A457,Follow_Ups!$H:$H,"&lt;&gt;Completed",Follow_Ups!$G:$G,"&gt;="&amp;TODAY()),""))</f>
        <v/>
      </c>
      <c r="AG457" s="2">
        <f>IF(A457="","",COUNTIF(Activities!$B:$B,A457))</f>
        <v/>
      </c>
      <c r="BG457" s="2">
        <f>IF(COUNTA(BH457:BK457)=0,"",ROUND(AVERAGE(BH457:BK457),0))</f>
        <v/>
      </c>
      <c r="BH457" s="2">
        <f>IF(BL457="","",IF(BL457&gt;=90,"HOT",IF(BL457&gt;=75,"HIGH",IF(BL457&gt;=50,"MEDIUM","LOW"))))</f>
        <v/>
      </c>
      <c r="BL457" s="2">
        <f>IFERROR(BN457/12,"")</f>
        <v/>
      </c>
      <c r="BP457" s="15" t="n"/>
    </row>
    <row r="458" ht="15.75" customHeight="1" s="19">
      <c r="AD458" s="13" t="n"/>
      <c r="AE458" s="13">
        <f>IF(A458="","",IFERROR(MAXIFS(Activities!$D:$D,Activities!$B:$B,A458),""))</f>
        <v/>
      </c>
      <c r="AF458" s="13">
        <f>IF(A458="","",IFERROR(MINIFS(Follow_Ups!$G:$G,Follow_Ups!$B:$B,A458,Follow_Ups!$H:$H,"&lt;&gt;Completed",Follow_Ups!$G:$G,"&gt;="&amp;TODAY()),""))</f>
        <v/>
      </c>
      <c r="AG458" s="2">
        <f>IF(A458="","",COUNTIF(Activities!$B:$B,A458))</f>
        <v/>
      </c>
      <c r="BG458" s="2">
        <f>IF(COUNTA(BH458:BK458)=0,"",ROUND(AVERAGE(BH458:BK458),0))</f>
        <v/>
      </c>
      <c r="BH458" s="2">
        <f>IF(BL458="","",IF(BL458&gt;=90,"HOT",IF(BL458&gt;=75,"HIGH",IF(BL458&gt;=50,"MEDIUM","LOW"))))</f>
        <v/>
      </c>
      <c r="BL458" s="2">
        <f>IFERROR(BN458/12,"")</f>
        <v/>
      </c>
      <c r="BP458" s="15" t="n"/>
    </row>
    <row r="459" ht="15.75" customHeight="1" s="19">
      <c r="AD459" s="13" t="n"/>
      <c r="AE459" s="13">
        <f>IF(A459="","",IFERROR(MAXIFS(Activities!$D:$D,Activities!$B:$B,A459),""))</f>
        <v/>
      </c>
      <c r="AF459" s="13">
        <f>IF(A459="","",IFERROR(MINIFS(Follow_Ups!$G:$G,Follow_Ups!$B:$B,A459,Follow_Ups!$H:$H,"&lt;&gt;Completed",Follow_Ups!$G:$G,"&gt;="&amp;TODAY()),""))</f>
        <v/>
      </c>
      <c r="AG459" s="2">
        <f>IF(A459="","",COUNTIF(Activities!$B:$B,A459))</f>
        <v/>
      </c>
      <c r="BG459" s="2">
        <f>IF(COUNTA(BH459:BK459)=0,"",ROUND(AVERAGE(BH459:BK459),0))</f>
        <v/>
      </c>
      <c r="BH459" s="2">
        <f>IF(BL459="","",IF(BL459&gt;=90,"HOT",IF(BL459&gt;=75,"HIGH",IF(BL459&gt;=50,"MEDIUM","LOW"))))</f>
        <v/>
      </c>
      <c r="BL459" s="2">
        <f>IFERROR(BN459/12,"")</f>
        <v/>
      </c>
      <c r="BP459" s="15" t="n"/>
    </row>
    <row r="460" ht="15.75" customHeight="1" s="19">
      <c r="AD460" s="13" t="n"/>
      <c r="AE460" s="13">
        <f>IF(A460="","",IFERROR(MAXIFS(Activities!$D:$D,Activities!$B:$B,A460),""))</f>
        <v/>
      </c>
      <c r="AF460" s="13">
        <f>IF(A460="","",IFERROR(MINIFS(Follow_Ups!$G:$G,Follow_Ups!$B:$B,A460,Follow_Ups!$H:$H,"&lt;&gt;Completed",Follow_Ups!$G:$G,"&gt;="&amp;TODAY()),""))</f>
        <v/>
      </c>
      <c r="AG460" s="2">
        <f>IF(A460="","",COUNTIF(Activities!$B:$B,A460))</f>
        <v/>
      </c>
      <c r="BG460" s="2">
        <f>IF(COUNTA(BH460:BK460)=0,"",ROUND(AVERAGE(BH460:BK460),0))</f>
        <v/>
      </c>
      <c r="BH460" s="2">
        <f>IF(BL460="","",IF(BL460&gt;=90,"HOT",IF(BL460&gt;=75,"HIGH",IF(BL460&gt;=50,"MEDIUM","LOW"))))</f>
        <v/>
      </c>
      <c r="BL460" s="2">
        <f>IFERROR(BN460/12,"")</f>
        <v/>
      </c>
      <c r="BP460" s="15" t="n"/>
    </row>
    <row r="461" ht="15.75" customHeight="1" s="19">
      <c r="AD461" s="13" t="n"/>
      <c r="AE461" s="13">
        <f>IF(A461="","",IFERROR(MAXIFS(Activities!$D:$D,Activities!$B:$B,A461),""))</f>
        <v/>
      </c>
      <c r="AF461" s="13">
        <f>IF(A461="","",IFERROR(MINIFS(Follow_Ups!$G:$G,Follow_Ups!$B:$B,A461,Follow_Ups!$H:$H,"&lt;&gt;Completed",Follow_Ups!$G:$G,"&gt;="&amp;TODAY()),""))</f>
        <v/>
      </c>
      <c r="AG461" s="2">
        <f>IF(A461="","",COUNTIF(Activities!$B:$B,A461))</f>
        <v/>
      </c>
      <c r="BG461" s="2">
        <f>IF(COUNTA(BH461:BK461)=0,"",ROUND(AVERAGE(BH461:BK461),0))</f>
        <v/>
      </c>
      <c r="BH461" s="2">
        <f>IF(BL461="","",IF(BL461&gt;=90,"HOT",IF(BL461&gt;=75,"HIGH",IF(BL461&gt;=50,"MEDIUM","LOW"))))</f>
        <v/>
      </c>
      <c r="BL461" s="2">
        <f>IFERROR(BN461/12,"")</f>
        <v/>
      </c>
      <c r="BP461" s="15" t="n"/>
    </row>
    <row r="462" ht="15.75" customHeight="1" s="19">
      <c r="AD462" s="13" t="n"/>
      <c r="AE462" s="13">
        <f>IF(A462="","",IFERROR(MAXIFS(Activities!$D:$D,Activities!$B:$B,A462),""))</f>
        <v/>
      </c>
      <c r="AF462" s="13">
        <f>IF(A462="","",IFERROR(MINIFS(Follow_Ups!$G:$G,Follow_Ups!$B:$B,A462,Follow_Ups!$H:$H,"&lt;&gt;Completed",Follow_Ups!$G:$G,"&gt;="&amp;TODAY()),""))</f>
        <v/>
      </c>
      <c r="AG462" s="2">
        <f>IF(A462="","",COUNTIF(Activities!$B:$B,A462))</f>
        <v/>
      </c>
      <c r="BG462" s="2">
        <f>IF(COUNTA(BH462:BK462)=0,"",ROUND(AVERAGE(BH462:BK462),0))</f>
        <v/>
      </c>
      <c r="BH462" s="2">
        <f>IF(BL462="","",IF(BL462&gt;=90,"HOT",IF(BL462&gt;=75,"HIGH",IF(BL462&gt;=50,"MEDIUM","LOW"))))</f>
        <v/>
      </c>
      <c r="BL462" s="2">
        <f>IFERROR(BN462/12,"")</f>
        <v/>
      </c>
      <c r="BP462" s="15" t="n"/>
    </row>
    <row r="463" ht="15.75" customHeight="1" s="19">
      <c r="AD463" s="13" t="n"/>
      <c r="AE463" s="13">
        <f>IF(A463="","",IFERROR(MAXIFS(Activities!$D:$D,Activities!$B:$B,A463),""))</f>
        <v/>
      </c>
      <c r="AF463" s="13">
        <f>IF(A463="","",IFERROR(MINIFS(Follow_Ups!$G:$G,Follow_Ups!$B:$B,A463,Follow_Ups!$H:$H,"&lt;&gt;Completed",Follow_Ups!$G:$G,"&gt;="&amp;TODAY()),""))</f>
        <v/>
      </c>
      <c r="AG463" s="2">
        <f>IF(A463="","",COUNTIF(Activities!$B:$B,A463))</f>
        <v/>
      </c>
      <c r="BG463" s="2">
        <f>IF(COUNTA(BH463:BK463)=0,"",ROUND(AVERAGE(BH463:BK463),0))</f>
        <v/>
      </c>
      <c r="BH463" s="2">
        <f>IF(BL463="","",IF(BL463&gt;=90,"HOT",IF(BL463&gt;=75,"HIGH",IF(BL463&gt;=50,"MEDIUM","LOW"))))</f>
        <v/>
      </c>
      <c r="BL463" s="2">
        <f>IFERROR(BN463/12,"")</f>
        <v/>
      </c>
      <c r="BP463" s="15" t="n"/>
    </row>
    <row r="464" ht="15.75" customHeight="1" s="19">
      <c r="AD464" s="13" t="n"/>
      <c r="AE464" s="13">
        <f>IF(A464="","",IFERROR(MAXIFS(Activities!$D:$D,Activities!$B:$B,A464),""))</f>
        <v/>
      </c>
      <c r="AF464" s="13">
        <f>IF(A464="","",IFERROR(MINIFS(Follow_Ups!$G:$G,Follow_Ups!$B:$B,A464,Follow_Ups!$H:$H,"&lt;&gt;Completed",Follow_Ups!$G:$G,"&gt;="&amp;TODAY()),""))</f>
        <v/>
      </c>
      <c r="AG464" s="2">
        <f>IF(A464="","",COUNTIF(Activities!$B:$B,A464))</f>
        <v/>
      </c>
      <c r="BG464" s="2">
        <f>IF(COUNTA(BH464:BK464)=0,"",ROUND(AVERAGE(BH464:BK464),0))</f>
        <v/>
      </c>
      <c r="BH464" s="2">
        <f>IF(BL464="","",IF(BL464&gt;=90,"HOT",IF(BL464&gt;=75,"HIGH",IF(BL464&gt;=50,"MEDIUM","LOW"))))</f>
        <v/>
      </c>
      <c r="BL464" s="2">
        <f>IFERROR(BN464/12,"")</f>
        <v/>
      </c>
      <c r="BP464" s="15" t="n"/>
    </row>
    <row r="465" ht="15.75" customHeight="1" s="19">
      <c r="AD465" s="13" t="n"/>
      <c r="AE465" s="13">
        <f>IF(A465="","",IFERROR(MAXIFS(Activities!$D:$D,Activities!$B:$B,A465),""))</f>
        <v/>
      </c>
      <c r="AF465" s="13">
        <f>IF(A465="","",IFERROR(MINIFS(Follow_Ups!$G:$G,Follow_Ups!$B:$B,A465,Follow_Ups!$H:$H,"&lt;&gt;Completed",Follow_Ups!$G:$G,"&gt;="&amp;TODAY()),""))</f>
        <v/>
      </c>
      <c r="AG465" s="2">
        <f>IF(A465="","",COUNTIF(Activities!$B:$B,A465))</f>
        <v/>
      </c>
      <c r="BG465" s="2">
        <f>IF(COUNTA(BH465:BK465)=0,"",ROUND(AVERAGE(BH465:BK465),0))</f>
        <v/>
      </c>
      <c r="BH465" s="2">
        <f>IF(BL465="","",IF(BL465&gt;=90,"HOT",IF(BL465&gt;=75,"HIGH",IF(BL465&gt;=50,"MEDIUM","LOW"))))</f>
        <v/>
      </c>
      <c r="BL465" s="2">
        <f>IFERROR(BN465/12,"")</f>
        <v/>
      </c>
      <c r="BP465" s="15" t="n"/>
    </row>
    <row r="466" ht="15.75" customHeight="1" s="19">
      <c r="AD466" s="13" t="n"/>
      <c r="AE466" s="13">
        <f>IF(A466="","",IFERROR(MAXIFS(Activities!$D:$D,Activities!$B:$B,A466),""))</f>
        <v/>
      </c>
      <c r="AF466" s="13">
        <f>IF(A466="","",IFERROR(MINIFS(Follow_Ups!$G:$G,Follow_Ups!$B:$B,A466,Follow_Ups!$H:$H,"&lt;&gt;Completed",Follow_Ups!$G:$G,"&gt;="&amp;TODAY()),""))</f>
        <v/>
      </c>
      <c r="AG466" s="2">
        <f>IF(A466="","",COUNTIF(Activities!$B:$B,A466))</f>
        <v/>
      </c>
      <c r="BG466" s="2">
        <f>IF(COUNTA(BH466:BK466)=0,"",ROUND(AVERAGE(BH466:BK466),0))</f>
        <v/>
      </c>
      <c r="BH466" s="2">
        <f>IF(BL466="","",IF(BL466&gt;=90,"HOT",IF(BL466&gt;=75,"HIGH",IF(BL466&gt;=50,"MEDIUM","LOW"))))</f>
        <v/>
      </c>
      <c r="BL466" s="2">
        <f>IFERROR(BN466/12,"")</f>
        <v/>
      </c>
      <c r="BP466" s="15" t="n"/>
    </row>
    <row r="467" ht="15.75" customHeight="1" s="19">
      <c r="AD467" s="13" t="n"/>
      <c r="AE467" s="13">
        <f>IF(A467="","",IFERROR(MAXIFS(Activities!$D:$D,Activities!$B:$B,A467),""))</f>
        <v/>
      </c>
      <c r="AF467" s="13">
        <f>IF(A467="","",IFERROR(MINIFS(Follow_Ups!$G:$G,Follow_Ups!$B:$B,A467,Follow_Ups!$H:$H,"&lt;&gt;Completed",Follow_Ups!$G:$G,"&gt;="&amp;TODAY()),""))</f>
        <v/>
      </c>
      <c r="AG467" s="2">
        <f>IF(A467="","",COUNTIF(Activities!$B:$B,A467))</f>
        <v/>
      </c>
      <c r="BG467" s="2">
        <f>IF(COUNTA(BH467:BK467)=0,"",ROUND(AVERAGE(BH467:BK467),0))</f>
        <v/>
      </c>
      <c r="BH467" s="2">
        <f>IF(BL467="","",IF(BL467&gt;=90,"HOT",IF(BL467&gt;=75,"HIGH",IF(BL467&gt;=50,"MEDIUM","LOW"))))</f>
        <v/>
      </c>
      <c r="BL467" s="2">
        <f>IFERROR(BN467/12,"")</f>
        <v/>
      </c>
      <c r="BP467" s="15" t="n"/>
    </row>
    <row r="468" ht="15.75" customHeight="1" s="19">
      <c r="AD468" s="13" t="n"/>
      <c r="AE468" s="13">
        <f>IF(A468="","",IFERROR(MAXIFS(Activities!$D:$D,Activities!$B:$B,A468),""))</f>
        <v/>
      </c>
      <c r="AF468" s="13">
        <f>IF(A468="","",IFERROR(MINIFS(Follow_Ups!$G:$G,Follow_Ups!$B:$B,A468,Follow_Ups!$H:$H,"&lt;&gt;Completed",Follow_Ups!$G:$G,"&gt;="&amp;TODAY()),""))</f>
        <v/>
      </c>
      <c r="AG468" s="2">
        <f>IF(A468="","",COUNTIF(Activities!$B:$B,A468))</f>
        <v/>
      </c>
      <c r="BG468" s="2">
        <f>IF(COUNTA(BH468:BK468)=0,"",ROUND(AVERAGE(BH468:BK468),0))</f>
        <v/>
      </c>
      <c r="BH468" s="2">
        <f>IF(BL468="","",IF(BL468&gt;=90,"HOT",IF(BL468&gt;=75,"HIGH",IF(BL468&gt;=50,"MEDIUM","LOW"))))</f>
        <v/>
      </c>
      <c r="BL468" s="2">
        <f>IFERROR(BN468/12,"")</f>
        <v/>
      </c>
      <c r="BP468" s="15" t="n"/>
    </row>
    <row r="469" ht="15.75" customHeight="1" s="19">
      <c r="AD469" s="13" t="n"/>
      <c r="AE469" s="13">
        <f>IF(A469="","",IFERROR(MAXIFS(Activities!$D:$D,Activities!$B:$B,A469),""))</f>
        <v/>
      </c>
      <c r="AF469" s="13">
        <f>IF(A469="","",IFERROR(MINIFS(Follow_Ups!$G:$G,Follow_Ups!$B:$B,A469,Follow_Ups!$H:$H,"&lt;&gt;Completed",Follow_Ups!$G:$G,"&gt;="&amp;TODAY()),""))</f>
        <v/>
      </c>
      <c r="AG469" s="2">
        <f>IF(A469="","",COUNTIF(Activities!$B:$B,A469))</f>
        <v/>
      </c>
      <c r="BG469" s="2">
        <f>IF(COUNTA(BH469:BK469)=0,"",ROUND(AVERAGE(BH469:BK469),0))</f>
        <v/>
      </c>
      <c r="BH469" s="2">
        <f>IF(BL469="","",IF(BL469&gt;=90,"HOT",IF(BL469&gt;=75,"HIGH",IF(BL469&gt;=50,"MEDIUM","LOW"))))</f>
        <v/>
      </c>
      <c r="BL469" s="2">
        <f>IFERROR(BN469/12,"")</f>
        <v/>
      </c>
      <c r="BP469" s="15" t="n"/>
    </row>
    <row r="470" ht="15.75" customHeight="1" s="19">
      <c r="AD470" s="13" t="n"/>
      <c r="AE470" s="13">
        <f>IF(A470="","",IFERROR(MAXIFS(Activities!$D:$D,Activities!$B:$B,A470),""))</f>
        <v/>
      </c>
      <c r="AF470" s="13">
        <f>IF(A470="","",IFERROR(MINIFS(Follow_Ups!$G:$G,Follow_Ups!$B:$B,A470,Follow_Ups!$H:$H,"&lt;&gt;Completed",Follow_Ups!$G:$G,"&gt;="&amp;TODAY()),""))</f>
        <v/>
      </c>
      <c r="AG470" s="2">
        <f>IF(A470="","",COUNTIF(Activities!$B:$B,A470))</f>
        <v/>
      </c>
      <c r="BG470" s="2">
        <f>IF(COUNTA(BH470:BK470)=0,"",ROUND(AVERAGE(BH470:BK470),0))</f>
        <v/>
      </c>
      <c r="BH470" s="2">
        <f>IF(BL470="","",IF(BL470&gt;=90,"HOT",IF(BL470&gt;=75,"HIGH",IF(BL470&gt;=50,"MEDIUM","LOW"))))</f>
        <v/>
      </c>
      <c r="BL470" s="2">
        <f>IFERROR(BN470/12,"")</f>
        <v/>
      </c>
      <c r="BP470" s="15" t="n"/>
    </row>
    <row r="471" ht="15.75" customHeight="1" s="19">
      <c r="AD471" s="13" t="n"/>
      <c r="AE471" s="13">
        <f>IF(A471="","",IFERROR(MAXIFS(Activities!$D:$D,Activities!$B:$B,A471),""))</f>
        <v/>
      </c>
      <c r="AF471" s="13">
        <f>IF(A471="","",IFERROR(MINIFS(Follow_Ups!$G:$G,Follow_Ups!$B:$B,A471,Follow_Ups!$H:$H,"&lt;&gt;Completed",Follow_Ups!$G:$G,"&gt;="&amp;TODAY()),""))</f>
        <v/>
      </c>
      <c r="AG471" s="2">
        <f>IF(A471="","",COUNTIF(Activities!$B:$B,A471))</f>
        <v/>
      </c>
      <c r="BG471" s="2">
        <f>IF(COUNTA(BH471:BK471)=0,"",ROUND(AVERAGE(BH471:BK471),0))</f>
        <v/>
      </c>
      <c r="BH471" s="2">
        <f>IF(BL471="","",IF(BL471&gt;=90,"HOT",IF(BL471&gt;=75,"HIGH",IF(BL471&gt;=50,"MEDIUM","LOW"))))</f>
        <v/>
      </c>
      <c r="BL471" s="2">
        <f>IFERROR(BN471/12,"")</f>
        <v/>
      </c>
      <c r="BP471" s="15" t="n"/>
    </row>
    <row r="472" ht="15.75" customHeight="1" s="19">
      <c r="AD472" s="13" t="n"/>
      <c r="AE472" s="13">
        <f>IF(A472="","",IFERROR(MAXIFS(Activities!$D:$D,Activities!$B:$B,A472),""))</f>
        <v/>
      </c>
      <c r="AF472" s="13">
        <f>IF(A472="","",IFERROR(MINIFS(Follow_Ups!$G:$G,Follow_Ups!$B:$B,A472,Follow_Ups!$H:$H,"&lt;&gt;Completed",Follow_Ups!$G:$G,"&gt;="&amp;TODAY()),""))</f>
        <v/>
      </c>
      <c r="AG472" s="2">
        <f>IF(A472="","",COUNTIF(Activities!$B:$B,A472))</f>
        <v/>
      </c>
      <c r="BG472" s="2">
        <f>IF(COUNTA(BH472:BK472)=0,"",ROUND(AVERAGE(BH472:BK472),0))</f>
        <v/>
      </c>
      <c r="BH472" s="2">
        <f>IF(BL472="","",IF(BL472&gt;=90,"HOT",IF(BL472&gt;=75,"HIGH",IF(BL472&gt;=50,"MEDIUM","LOW"))))</f>
        <v/>
      </c>
      <c r="BL472" s="2">
        <f>IFERROR(BN472/12,"")</f>
        <v/>
      </c>
      <c r="BP472" s="15" t="n"/>
    </row>
    <row r="473" ht="15.75" customHeight="1" s="19">
      <c r="AD473" s="13" t="n"/>
      <c r="AE473" s="13">
        <f>IF(A473="","",IFERROR(MAXIFS(Activities!$D:$D,Activities!$B:$B,A473),""))</f>
        <v/>
      </c>
      <c r="AF473" s="13">
        <f>IF(A473="","",IFERROR(MINIFS(Follow_Ups!$G:$G,Follow_Ups!$B:$B,A473,Follow_Ups!$H:$H,"&lt;&gt;Completed",Follow_Ups!$G:$G,"&gt;="&amp;TODAY()),""))</f>
        <v/>
      </c>
      <c r="AG473" s="2">
        <f>IF(A473="","",COUNTIF(Activities!$B:$B,A473))</f>
        <v/>
      </c>
      <c r="BG473" s="2">
        <f>IF(COUNTA(BH473:BK473)=0,"",ROUND(AVERAGE(BH473:BK473),0))</f>
        <v/>
      </c>
      <c r="BH473" s="2">
        <f>IF(BL473="","",IF(BL473&gt;=90,"HOT",IF(BL473&gt;=75,"HIGH",IF(BL473&gt;=50,"MEDIUM","LOW"))))</f>
        <v/>
      </c>
      <c r="BL473" s="2">
        <f>IFERROR(BN473/12,"")</f>
        <v/>
      </c>
      <c r="BP473" s="15" t="n"/>
    </row>
    <row r="474" ht="15.75" customHeight="1" s="19">
      <c r="AD474" s="13" t="n"/>
      <c r="AE474" s="13">
        <f>IF(A474="","",IFERROR(MAXIFS(Activities!$D:$D,Activities!$B:$B,A474),""))</f>
        <v/>
      </c>
      <c r="AF474" s="13">
        <f>IF(A474="","",IFERROR(MINIFS(Follow_Ups!$G:$G,Follow_Ups!$B:$B,A474,Follow_Ups!$H:$H,"&lt;&gt;Completed",Follow_Ups!$G:$G,"&gt;="&amp;TODAY()),""))</f>
        <v/>
      </c>
      <c r="AG474" s="2">
        <f>IF(A474="","",COUNTIF(Activities!$B:$B,A474))</f>
        <v/>
      </c>
      <c r="BG474" s="2">
        <f>IF(COUNTA(BH474:BK474)=0,"",ROUND(AVERAGE(BH474:BK474),0))</f>
        <v/>
      </c>
      <c r="BH474" s="2">
        <f>IF(BL474="","",IF(BL474&gt;=90,"HOT",IF(BL474&gt;=75,"HIGH",IF(BL474&gt;=50,"MEDIUM","LOW"))))</f>
        <v/>
      </c>
      <c r="BL474" s="2">
        <f>IFERROR(BN474/12,"")</f>
        <v/>
      </c>
      <c r="BP474" s="15" t="n"/>
    </row>
    <row r="475" ht="15.75" customHeight="1" s="19">
      <c r="AD475" s="13" t="n"/>
      <c r="AE475" s="13">
        <f>IF(A475="","",IFERROR(MAXIFS(Activities!$D:$D,Activities!$B:$B,A475),""))</f>
        <v/>
      </c>
      <c r="AF475" s="13">
        <f>IF(A475="","",IFERROR(MINIFS(Follow_Ups!$G:$G,Follow_Ups!$B:$B,A475,Follow_Ups!$H:$H,"&lt;&gt;Completed",Follow_Ups!$G:$G,"&gt;="&amp;TODAY()),""))</f>
        <v/>
      </c>
      <c r="AG475" s="2">
        <f>IF(A475="","",COUNTIF(Activities!$B:$B,A475))</f>
        <v/>
      </c>
      <c r="BG475" s="2">
        <f>IF(COUNTA(BH475:BK475)=0,"",ROUND(AVERAGE(BH475:BK475),0))</f>
        <v/>
      </c>
      <c r="BH475" s="2">
        <f>IF(BL475="","",IF(BL475&gt;=90,"HOT",IF(BL475&gt;=75,"HIGH",IF(BL475&gt;=50,"MEDIUM","LOW"))))</f>
        <v/>
      </c>
      <c r="BL475" s="2">
        <f>IFERROR(BN475/12,"")</f>
        <v/>
      </c>
      <c r="BP475" s="15" t="n"/>
    </row>
    <row r="476" ht="15.75" customHeight="1" s="19">
      <c r="AD476" s="13" t="n"/>
      <c r="AE476" s="13">
        <f>IF(A476="","",IFERROR(MAXIFS(Activities!$D:$D,Activities!$B:$B,A476),""))</f>
        <v/>
      </c>
      <c r="AF476" s="13">
        <f>IF(A476="","",IFERROR(MINIFS(Follow_Ups!$G:$G,Follow_Ups!$B:$B,A476,Follow_Ups!$H:$H,"&lt;&gt;Completed",Follow_Ups!$G:$G,"&gt;="&amp;TODAY()),""))</f>
        <v/>
      </c>
      <c r="AG476" s="2">
        <f>IF(A476="","",COUNTIF(Activities!$B:$B,A476))</f>
        <v/>
      </c>
      <c r="BG476" s="2">
        <f>IF(COUNTA(BH476:BK476)=0,"",ROUND(AVERAGE(BH476:BK476),0))</f>
        <v/>
      </c>
      <c r="BH476" s="2">
        <f>IF(BL476="","",IF(BL476&gt;=90,"HOT",IF(BL476&gt;=75,"HIGH",IF(BL476&gt;=50,"MEDIUM","LOW"))))</f>
        <v/>
      </c>
      <c r="BL476" s="2">
        <f>IFERROR(BN476/12,"")</f>
        <v/>
      </c>
      <c r="BP476" s="15" t="n"/>
    </row>
    <row r="477" ht="15.75" customHeight="1" s="19">
      <c r="AD477" s="13" t="n"/>
      <c r="AE477" s="13">
        <f>IF(A477="","",IFERROR(MAXIFS(Activities!$D:$D,Activities!$B:$B,A477),""))</f>
        <v/>
      </c>
      <c r="AF477" s="13">
        <f>IF(A477="","",IFERROR(MINIFS(Follow_Ups!$G:$G,Follow_Ups!$B:$B,A477,Follow_Ups!$H:$H,"&lt;&gt;Completed",Follow_Ups!$G:$G,"&gt;="&amp;TODAY()),""))</f>
        <v/>
      </c>
      <c r="AG477" s="2">
        <f>IF(A477="","",COUNTIF(Activities!$B:$B,A477))</f>
        <v/>
      </c>
      <c r="BG477" s="2">
        <f>IF(COUNTA(BH477:BK477)=0,"",ROUND(AVERAGE(BH477:BK477),0))</f>
        <v/>
      </c>
      <c r="BH477" s="2">
        <f>IF(BL477="","",IF(BL477&gt;=90,"HOT",IF(BL477&gt;=75,"HIGH",IF(BL477&gt;=50,"MEDIUM","LOW"))))</f>
        <v/>
      </c>
      <c r="BL477" s="2">
        <f>IFERROR(BN477/12,"")</f>
        <v/>
      </c>
      <c r="BP477" s="15" t="n"/>
    </row>
    <row r="478" ht="15.75" customHeight="1" s="19">
      <c r="AD478" s="13" t="n"/>
      <c r="AE478" s="13">
        <f>IF(A478="","",IFERROR(MAXIFS(Activities!$D:$D,Activities!$B:$B,A478),""))</f>
        <v/>
      </c>
      <c r="AF478" s="13">
        <f>IF(A478="","",IFERROR(MINIFS(Follow_Ups!$G:$G,Follow_Ups!$B:$B,A478,Follow_Ups!$H:$H,"&lt;&gt;Completed",Follow_Ups!$G:$G,"&gt;="&amp;TODAY()),""))</f>
        <v/>
      </c>
      <c r="AG478" s="2">
        <f>IF(A478="","",COUNTIF(Activities!$B:$B,A478))</f>
        <v/>
      </c>
      <c r="BG478" s="2">
        <f>IF(COUNTA(BH478:BK478)=0,"",ROUND(AVERAGE(BH478:BK478),0))</f>
        <v/>
      </c>
      <c r="BH478" s="2">
        <f>IF(BL478="","",IF(BL478&gt;=90,"HOT",IF(BL478&gt;=75,"HIGH",IF(BL478&gt;=50,"MEDIUM","LOW"))))</f>
        <v/>
      </c>
      <c r="BL478" s="2">
        <f>IFERROR(BN478/12,"")</f>
        <v/>
      </c>
      <c r="BP478" s="15" t="n"/>
    </row>
    <row r="479" ht="15.75" customHeight="1" s="19">
      <c r="AD479" s="13" t="n"/>
      <c r="AE479" s="13">
        <f>IF(A479="","",IFERROR(MAXIFS(Activities!$D:$D,Activities!$B:$B,A479),""))</f>
        <v/>
      </c>
      <c r="AF479" s="13">
        <f>IF(A479="","",IFERROR(MINIFS(Follow_Ups!$G:$G,Follow_Ups!$B:$B,A479,Follow_Ups!$H:$H,"&lt;&gt;Completed",Follow_Ups!$G:$G,"&gt;="&amp;TODAY()),""))</f>
        <v/>
      </c>
      <c r="AG479" s="2">
        <f>IF(A479="","",COUNTIF(Activities!$B:$B,A479))</f>
        <v/>
      </c>
      <c r="BG479" s="2">
        <f>IF(COUNTA(BH479:BK479)=0,"",ROUND(AVERAGE(BH479:BK479),0))</f>
        <v/>
      </c>
      <c r="BH479" s="2">
        <f>IF(BL479="","",IF(BL479&gt;=90,"HOT",IF(BL479&gt;=75,"HIGH",IF(BL479&gt;=50,"MEDIUM","LOW"))))</f>
        <v/>
      </c>
      <c r="BL479" s="2">
        <f>IFERROR(BN479/12,"")</f>
        <v/>
      </c>
      <c r="BP479" s="15" t="n"/>
    </row>
    <row r="480" ht="15.75" customHeight="1" s="19">
      <c r="AD480" s="13" t="n"/>
      <c r="AE480" s="13">
        <f>IF(A480="","",IFERROR(MAXIFS(Activities!$D:$D,Activities!$B:$B,A480),""))</f>
        <v/>
      </c>
      <c r="AF480" s="13">
        <f>IF(A480="","",IFERROR(MINIFS(Follow_Ups!$G:$G,Follow_Ups!$B:$B,A480,Follow_Ups!$H:$H,"&lt;&gt;Completed",Follow_Ups!$G:$G,"&gt;="&amp;TODAY()),""))</f>
        <v/>
      </c>
      <c r="AG480" s="2">
        <f>IF(A480="","",COUNTIF(Activities!$B:$B,A480))</f>
        <v/>
      </c>
      <c r="BG480" s="2">
        <f>IF(COUNTA(BH480:BK480)=0,"",ROUND(AVERAGE(BH480:BK480),0))</f>
        <v/>
      </c>
      <c r="BH480" s="2">
        <f>IF(BL480="","",IF(BL480&gt;=90,"HOT",IF(BL480&gt;=75,"HIGH",IF(BL480&gt;=50,"MEDIUM","LOW"))))</f>
        <v/>
      </c>
      <c r="BL480" s="2">
        <f>IFERROR(BN480/12,"")</f>
        <v/>
      </c>
      <c r="BP480" s="15" t="n"/>
    </row>
    <row r="481" ht="15.75" customHeight="1" s="19">
      <c r="AD481" s="13" t="n"/>
      <c r="AE481" s="13">
        <f>IF(A481="","",IFERROR(MAXIFS(Activities!$D:$D,Activities!$B:$B,A481),""))</f>
        <v/>
      </c>
      <c r="AF481" s="13">
        <f>IF(A481="","",IFERROR(MINIFS(Follow_Ups!$G:$G,Follow_Ups!$B:$B,A481,Follow_Ups!$H:$H,"&lt;&gt;Completed",Follow_Ups!$G:$G,"&gt;="&amp;TODAY()),""))</f>
        <v/>
      </c>
      <c r="AG481" s="2">
        <f>IF(A481="","",COUNTIF(Activities!$B:$B,A481))</f>
        <v/>
      </c>
      <c r="BG481" s="2">
        <f>IF(COUNTA(BH481:BK481)=0,"",ROUND(AVERAGE(BH481:BK481),0))</f>
        <v/>
      </c>
      <c r="BH481" s="2">
        <f>IF(BL481="","",IF(BL481&gt;=90,"HOT",IF(BL481&gt;=75,"HIGH",IF(BL481&gt;=50,"MEDIUM","LOW"))))</f>
        <v/>
      </c>
      <c r="BL481" s="2">
        <f>IFERROR(BN481/12,"")</f>
        <v/>
      </c>
      <c r="BP481" s="15" t="n"/>
    </row>
    <row r="482" ht="15.75" customHeight="1" s="19">
      <c r="AD482" s="13" t="n"/>
      <c r="AE482" s="13">
        <f>IF(A482="","",IFERROR(MAXIFS(Activities!$D:$D,Activities!$B:$B,A482),""))</f>
        <v/>
      </c>
      <c r="AF482" s="13">
        <f>IF(A482="","",IFERROR(MINIFS(Follow_Ups!$G:$G,Follow_Ups!$B:$B,A482,Follow_Ups!$H:$H,"&lt;&gt;Completed",Follow_Ups!$G:$G,"&gt;="&amp;TODAY()),""))</f>
        <v/>
      </c>
      <c r="AG482" s="2">
        <f>IF(A482="","",COUNTIF(Activities!$B:$B,A482))</f>
        <v/>
      </c>
      <c r="BG482" s="2">
        <f>IF(COUNTA(BH482:BK482)=0,"",ROUND(AVERAGE(BH482:BK482),0))</f>
        <v/>
      </c>
      <c r="BH482" s="2">
        <f>IF(BL482="","",IF(BL482&gt;=90,"HOT",IF(BL482&gt;=75,"HIGH",IF(BL482&gt;=50,"MEDIUM","LOW"))))</f>
        <v/>
      </c>
      <c r="BL482" s="2">
        <f>IFERROR(BN482/12,"")</f>
        <v/>
      </c>
      <c r="BP482" s="15" t="n"/>
    </row>
    <row r="483" ht="15.75" customHeight="1" s="19">
      <c r="AD483" s="13" t="n"/>
      <c r="AE483" s="13">
        <f>IF(A483="","",IFERROR(MAXIFS(Activities!$D:$D,Activities!$B:$B,A483),""))</f>
        <v/>
      </c>
      <c r="AF483" s="13">
        <f>IF(A483="","",IFERROR(MINIFS(Follow_Ups!$G:$G,Follow_Ups!$B:$B,A483,Follow_Ups!$H:$H,"&lt;&gt;Completed",Follow_Ups!$G:$G,"&gt;="&amp;TODAY()),""))</f>
        <v/>
      </c>
      <c r="AG483" s="2">
        <f>IF(A483="","",COUNTIF(Activities!$B:$B,A483))</f>
        <v/>
      </c>
      <c r="BG483" s="2">
        <f>IF(COUNTA(BH483:BK483)=0,"",ROUND(AVERAGE(BH483:BK483),0))</f>
        <v/>
      </c>
      <c r="BH483" s="2">
        <f>IF(BL483="","",IF(BL483&gt;=90,"HOT",IF(BL483&gt;=75,"HIGH",IF(BL483&gt;=50,"MEDIUM","LOW"))))</f>
        <v/>
      </c>
      <c r="BL483" s="2">
        <f>IFERROR(BN483/12,"")</f>
        <v/>
      </c>
      <c r="BP483" s="15" t="n"/>
    </row>
    <row r="484" ht="15.75" customHeight="1" s="19">
      <c r="AD484" s="13" t="n"/>
      <c r="AE484" s="13">
        <f>IF(A484="","",IFERROR(MAXIFS(Activities!$D:$D,Activities!$B:$B,A484),""))</f>
        <v/>
      </c>
      <c r="AF484" s="13">
        <f>IF(A484="","",IFERROR(MINIFS(Follow_Ups!$G:$G,Follow_Ups!$B:$B,A484,Follow_Ups!$H:$H,"&lt;&gt;Completed",Follow_Ups!$G:$G,"&gt;="&amp;TODAY()),""))</f>
        <v/>
      </c>
      <c r="AG484" s="2">
        <f>IF(A484="","",COUNTIF(Activities!$B:$B,A484))</f>
        <v/>
      </c>
      <c r="BG484" s="2">
        <f>IF(COUNTA(BH484:BK484)=0,"",ROUND(AVERAGE(BH484:BK484),0))</f>
        <v/>
      </c>
      <c r="BH484" s="2">
        <f>IF(BL484="","",IF(BL484&gt;=90,"HOT",IF(BL484&gt;=75,"HIGH",IF(BL484&gt;=50,"MEDIUM","LOW"))))</f>
        <v/>
      </c>
      <c r="BL484" s="2">
        <f>IFERROR(BN484/12,"")</f>
        <v/>
      </c>
      <c r="BP484" s="15" t="n"/>
    </row>
    <row r="485" ht="15.75" customHeight="1" s="19">
      <c r="AD485" s="13" t="n"/>
      <c r="AE485" s="13">
        <f>IF(A485="","",IFERROR(MAXIFS(Activities!$D:$D,Activities!$B:$B,A485),""))</f>
        <v/>
      </c>
      <c r="AF485" s="13">
        <f>IF(A485="","",IFERROR(MINIFS(Follow_Ups!$G:$G,Follow_Ups!$B:$B,A485,Follow_Ups!$H:$H,"&lt;&gt;Completed",Follow_Ups!$G:$G,"&gt;="&amp;TODAY()),""))</f>
        <v/>
      </c>
      <c r="AG485" s="2">
        <f>IF(A485="","",COUNTIF(Activities!$B:$B,A485))</f>
        <v/>
      </c>
      <c r="BG485" s="2">
        <f>IF(COUNTA(BH485:BK485)=0,"",ROUND(AVERAGE(BH485:BK485),0))</f>
        <v/>
      </c>
      <c r="BH485" s="2">
        <f>IF(BL485="","",IF(BL485&gt;=90,"HOT",IF(BL485&gt;=75,"HIGH",IF(BL485&gt;=50,"MEDIUM","LOW"))))</f>
        <v/>
      </c>
      <c r="BL485" s="2">
        <f>IFERROR(BN485/12,"")</f>
        <v/>
      </c>
      <c r="BP485" s="15" t="n"/>
    </row>
    <row r="486" ht="15.75" customHeight="1" s="19">
      <c r="AD486" s="13" t="n"/>
      <c r="AE486" s="13">
        <f>IF(A486="","",IFERROR(MAXIFS(Activities!$D:$D,Activities!$B:$B,A486),""))</f>
        <v/>
      </c>
      <c r="AF486" s="13">
        <f>IF(A486="","",IFERROR(MINIFS(Follow_Ups!$G:$G,Follow_Ups!$B:$B,A486,Follow_Ups!$H:$H,"&lt;&gt;Completed",Follow_Ups!$G:$G,"&gt;="&amp;TODAY()),""))</f>
        <v/>
      </c>
      <c r="AG486" s="2">
        <f>IF(A486="","",COUNTIF(Activities!$B:$B,A486))</f>
        <v/>
      </c>
      <c r="BG486" s="2">
        <f>IF(COUNTA(BH486:BK486)=0,"",ROUND(AVERAGE(BH486:BK486),0))</f>
        <v/>
      </c>
      <c r="BH486" s="2">
        <f>IF(BL486="","",IF(BL486&gt;=90,"HOT",IF(BL486&gt;=75,"HIGH",IF(BL486&gt;=50,"MEDIUM","LOW"))))</f>
        <v/>
      </c>
      <c r="BL486" s="2">
        <f>IFERROR(BN486/12,"")</f>
        <v/>
      </c>
      <c r="BP486" s="15" t="n"/>
    </row>
    <row r="487" ht="15.75" customHeight="1" s="19">
      <c r="AD487" s="13" t="n"/>
      <c r="AE487" s="13">
        <f>IF(A487="","",IFERROR(MAXIFS(Activities!$D:$D,Activities!$B:$B,A487),""))</f>
        <v/>
      </c>
      <c r="AF487" s="13">
        <f>IF(A487="","",IFERROR(MINIFS(Follow_Ups!$G:$G,Follow_Ups!$B:$B,A487,Follow_Ups!$H:$H,"&lt;&gt;Completed",Follow_Ups!$G:$G,"&gt;="&amp;TODAY()),""))</f>
        <v/>
      </c>
      <c r="AG487" s="2">
        <f>IF(A487="","",COUNTIF(Activities!$B:$B,A487))</f>
        <v/>
      </c>
      <c r="BG487" s="2">
        <f>IF(COUNTA(BH487:BK487)=0,"",ROUND(AVERAGE(BH487:BK487),0))</f>
        <v/>
      </c>
      <c r="BH487" s="2">
        <f>IF(BL487="","",IF(BL487&gt;=90,"HOT",IF(BL487&gt;=75,"HIGH",IF(BL487&gt;=50,"MEDIUM","LOW"))))</f>
        <v/>
      </c>
      <c r="BL487" s="2">
        <f>IFERROR(BN487/12,"")</f>
        <v/>
      </c>
      <c r="BP487" s="15" t="n"/>
    </row>
    <row r="488" ht="15.75" customHeight="1" s="19">
      <c r="AD488" s="13" t="n"/>
      <c r="AE488" s="13">
        <f>IF(A488="","",IFERROR(MAXIFS(Activities!$D:$D,Activities!$B:$B,A488),""))</f>
        <v/>
      </c>
      <c r="AF488" s="13">
        <f>IF(A488="","",IFERROR(MINIFS(Follow_Ups!$G:$G,Follow_Ups!$B:$B,A488,Follow_Ups!$H:$H,"&lt;&gt;Completed",Follow_Ups!$G:$G,"&gt;="&amp;TODAY()),""))</f>
        <v/>
      </c>
      <c r="AG488" s="2">
        <f>IF(A488="","",COUNTIF(Activities!$B:$B,A488))</f>
        <v/>
      </c>
      <c r="BG488" s="2">
        <f>IF(COUNTA(BH488:BK488)=0,"",ROUND(AVERAGE(BH488:BK488),0))</f>
        <v/>
      </c>
      <c r="BH488" s="2">
        <f>IF(BL488="","",IF(BL488&gt;=90,"HOT",IF(BL488&gt;=75,"HIGH",IF(BL488&gt;=50,"MEDIUM","LOW"))))</f>
        <v/>
      </c>
      <c r="BL488" s="2">
        <f>IFERROR(BN488/12,"")</f>
        <v/>
      </c>
      <c r="BP488" s="15" t="n"/>
    </row>
    <row r="489" ht="15.75" customHeight="1" s="19">
      <c r="AD489" s="13" t="n"/>
      <c r="AE489" s="13">
        <f>IF(A489="","",IFERROR(MAXIFS(Activities!$D:$D,Activities!$B:$B,A489),""))</f>
        <v/>
      </c>
      <c r="AF489" s="13">
        <f>IF(A489="","",IFERROR(MINIFS(Follow_Ups!$G:$G,Follow_Ups!$B:$B,A489,Follow_Ups!$H:$H,"&lt;&gt;Completed",Follow_Ups!$G:$G,"&gt;="&amp;TODAY()),""))</f>
        <v/>
      </c>
      <c r="AG489" s="2">
        <f>IF(A489="","",COUNTIF(Activities!$B:$B,A489))</f>
        <v/>
      </c>
      <c r="BG489" s="2">
        <f>IF(COUNTA(BH489:BK489)=0,"",ROUND(AVERAGE(BH489:BK489),0))</f>
        <v/>
      </c>
      <c r="BH489" s="2">
        <f>IF(BL489="","",IF(BL489&gt;=90,"HOT",IF(BL489&gt;=75,"HIGH",IF(BL489&gt;=50,"MEDIUM","LOW"))))</f>
        <v/>
      </c>
      <c r="BL489" s="2">
        <f>IFERROR(BN489/12,"")</f>
        <v/>
      </c>
      <c r="BP489" s="15" t="n"/>
    </row>
    <row r="490" ht="15.75" customHeight="1" s="19">
      <c r="AD490" s="13" t="n"/>
      <c r="AE490" s="13">
        <f>IF(A490="","",IFERROR(MAXIFS(Activities!$D:$D,Activities!$B:$B,A490),""))</f>
        <v/>
      </c>
      <c r="AF490" s="13">
        <f>IF(A490="","",IFERROR(MINIFS(Follow_Ups!$G:$G,Follow_Ups!$B:$B,A490,Follow_Ups!$H:$H,"&lt;&gt;Completed",Follow_Ups!$G:$G,"&gt;="&amp;TODAY()),""))</f>
        <v/>
      </c>
      <c r="AG490" s="2">
        <f>IF(A490="","",COUNTIF(Activities!$B:$B,A490))</f>
        <v/>
      </c>
      <c r="BG490" s="2">
        <f>IF(COUNTA(BH490:BK490)=0,"",ROUND(AVERAGE(BH490:BK490),0))</f>
        <v/>
      </c>
      <c r="BH490" s="2">
        <f>IF(BL490="","",IF(BL490&gt;=90,"HOT",IF(BL490&gt;=75,"HIGH",IF(BL490&gt;=50,"MEDIUM","LOW"))))</f>
        <v/>
      </c>
      <c r="BL490" s="2">
        <f>IFERROR(BN490/12,"")</f>
        <v/>
      </c>
      <c r="BP490" s="15" t="n"/>
    </row>
    <row r="491" ht="15.75" customHeight="1" s="19">
      <c r="AD491" s="13" t="n"/>
      <c r="AE491" s="13">
        <f>IF(A491="","",IFERROR(MAXIFS(Activities!$D:$D,Activities!$B:$B,A491),""))</f>
        <v/>
      </c>
      <c r="AF491" s="13">
        <f>IF(A491="","",IFERROR(MINIFS(Follow_Ups!$G:$G,Follow_Ups!$B:$B,A491,Follow_Ups!$H:$H,"&lt;&gt;Completed",Follow_Ups!$G:$G,"&gt;="&amp;TODAY()),""))</f>
        <v/>
      </c>
      <c r="AG491" s="2">
        <f>IF(A491="","",COUNTIF(Activities!$B:$B,A491))</f>
        <v/>
      </c>
      <c r="BG491" s="2">
        <f>IF(COUNTA(BH491:BK491)=0,"",ROUND(AVERAGE(BH491:BK491),0))</f>
        <v/>
      </c>
      <c r="BH491" s="2">
        <f>IF(BL491="","",IF(BL491&gt;=90,"HOT",IF(BL491&gt;=75,"HIGH",IF(BL491&gt;=50,"MEDIUM","LOW"))))</f>
        <v/>
      </c>
      <c r="BL491" s="2">
        <f>IFERROR(BN491/12,"")</f>
        <v/>
      </c>
      <c r="BP491" s="15" t="n"/>
    </row>
    <row r="492" ht="15.75" customHeight="1" s="19">
      <c r="AD492" s="13" t="n"/>
      <c r="AE492" s="13">
        <f>IF(A492="","",IFERROR(MAXIFS(Activities!$D:$D,Activities!$B:$B,A492),""))</f>
        <v/>
      </c>
      <c r="AF492" s="13">
        <f>IF(A492="","",IFERROR(MINIFS(Follow_Ups!$G:$G,Follow_Ups!$B:$B,A492,Follow_Ups!$H:$H,"&lt;&gt;Completed",Follow_Ups!$G:$G,"&gt;="&amp;TODAY()),""))</f>
        <v/>
      </c>
      <c r="AG492" s="2">
        <f>IF(A492="","",COUNTIF(Activities!$B:$B,A492))</f>
        <v/>
      </c>
      <c r="BG492" s="2">
        <f>IF(COUNTA(BH492:BK492)=0,"",ROUND(AVERAGE(BH492:BK492),0))</f>
        <v/>
      </c>
      <c r="BH492" s="2">
        <f>IF(BL492="","",IF(BL492&gt;=90,"HOT",IF(BL492&gt;=75,"HIGH",IF(BL492&gt;=50,"MEDIUM","LOW"))))</f>
        <v/>
      </c>
      <c r="BL492" s="2">
        <f>IFERROR(BN492/12,"")</f>
        <v/>
      </c>
      <c r="BP492" s="15" t="n"/>
    </row>
    <row r="493" ht="15.75" customHeight="1" s="19">
      <c r="AD493" s="13" t="n"/>
      <c r="AE493" s="13">
        <f>IF(A493="","",IFERROR(MAXIFS(Activities!$D:$D,Activities!$B:$B,A493),""))</f>
        <v/>
      </c>
      <c r="AF493" s="13">
        <f>IF(A493="","",IFERROR(MINIFS(Follow_Ups!$G:$G,Follow_Ups!$B:$B,A493,Follow_Ups!$H:$H,"&lt;&gt;Completed",Follow_Ups!$G:$G,"&gt;="&amp;TODAY()),""))</f>
        <v/>
      </c>
      <c r="AG493" s="2">
        <f>IF(A493="","",COUNTIF(Activities!$B:$B,A493))</f>
        <v/>
      </c>
      <c r="BG493" s="2">
        <f>IF(COUNTA(BH493:BK493)=0,"",ROUND(AVERAGE(BH493:BK493),0))</f>
        <v/>
      </c>
      <c r="BH493" s="2">
        <f>IF(BL493="","",IF(BL493&gt;=90,"HOT",IF(BL493&gt;=75,"HIGH",IF(BL493&gt;=50,"MEDIUM","LOW"))))</f>
        <v/>
      </c>
      <c r="BL493" s="2">
        <f>IFERROR(BN493/12,"")</f>
        <v/>
      </c>
      <c r="BP493" s="15" t="n"/>
    </row>
    <row r="494" ht="15.75" customHeight="1" s="19">
      <c r="AD494" s="13" t="n"/>
      <c r="AE494" s="13">
        <f>IF(A494="","",IFERROR(MAXIFS(Activities!$D:$D,Activities!$B:$B,A494),""))</f>
        <v/>
      </c>
      <c r="AF494" s="13">
        <f>IF(A494="","",IFERROR(MINIFS(Follow_Ups!$G:$G,Follow_Ups!$B:$B,A494,Follow_Ups!$H:$H,"&lt;&gt;Completed",Follow_Ups!$G:$G,"&gt;="&amp;TODAY()),""))</f>
        <v/>
      </c>
      <c r="AG494" s="2">
        <f>IF(A494="","",COUNTIF(Activities!$B:$B,A494))</f>
        <v/>
      </c>
      <c r="BG494" s="2">
        <f>IF(COUNTA(BH494:BK494)=0,"",ROUND(AVERAGE(BH494:BK494),0))</f>
        <v/>
      </c>
      <c r="BH494" s="2">
        <f>IF(BL494="","",IF(BL494&gt;=90,"HOT",IF(BL494&gt;=75,"HIGH",IF(BL494&gt;=50,"MEDIUM","LOW"))))</f>
        <v/>
      </c>
      <c r="BL494" s="2">
        <f>IFERROR(BN494/12,"")</f>
        <v/>
      </c>
      <c r="BP494" s="15" t="n"/>
    </row>
    <row r="495" ht="15.75" customHeight="1" s="19">
      <c r="AD495" s="13" t="n"/>
      <c r="AE495" s="13">
        <f>IF(A495="","",IFERROR(MAXIFS(Activities!$D:$D,Activities!$B:$B,A495),""))</f>
        <v/>
      </c>
      <c r="AF495" s="13">
        <f>IF(A495="","",IFERROR(MINIFS(Follow_Ups!$G:$G,Follow_Ups!$B:$B,A495,Follow_Ups!$H:$H,"&lt;&gt;Completed",Follow_Ups!$G:$G,"&gt;="&amp;TODAY()),""))</f>
        <v/>
      </c>
      <c r="AG495" s="2">
        <f>IF(A495="","",COUNTIF(Activities!$B:$B,A495))</f>
        <v/>
      </c>
      <c r="BG495" s="2">
        <f>IF(COUNTA(BH495:BK495)=0,"",ROUND(AVERAGE(BH495:BK495),0))</f>
        <v/>
      </c>
      <c r="BH495" s="2">
        <f>IF(BL495="","",IF(BL495&gt;=90,"HOT",IF(BL495&gt;=75,"HIGH",IF(BL495&gt;=50,"MEDIUM","LOW"))))</f>
        <v/>
      </c>
      <c r="BL495" s="2">
        <f>IFERROR(BN495/12,"")</f>
        <v/>
      </c>
      <c r="BP495" s="15" t="n"/>
    </row>
    <row r="496" ht="15.75" customHeight="1" s="19">
      <c r="AD496" s="13" t="n"/>
      <c r="AE496" s="13">
        <f>IF(A496="","",IFERROR(MAXIFS(Activities!$D:$D,Activities!$B:$B,A496),""))</f>
        <v/>
      </c>
      <c r="AF496" s="13">
        <f>IF(A496="","",IFERROR(MINIFS(Follow_Ups!$G:$G,Follow_Ups!$B:$B,A496,Follow_Ups!$H:$H,"&lt;&gt;Completed",Follow_Ups!$G:$G,"&gt;="&amp;TODAY()),""))</f>
        <v/>
      </c>
      <c r="AG496" s="2">
        <f>IF(A496="","",COUNTIF(Activities!$B:$B,A496))</f>
        <v/>
      </c>
      <c r="BG496" s="2">
        <f>IF(COUNTA(BH496:BK496)=0,"",ROUND(AVERAGE(BH496:BK496),0))</f>
        <v/>
      </c>
      <c r="BH496" s="2">
        <f>IF(BL496="","",IF(BL496&gt;=90,"HOT",IF(BL496&gt;=75,"HIGH",IF(BL496&gt;=50,"MEDIUM","LOW"))))</f>
        <v/>
      </c>
      <c r="BL496" s="2">
        <f>IFERROR(BN496/12,"")</f>
        <v/>
      </c>
      <c r="BP496" s="15" t="n"/>
    </row>
    <row r="497" ht="15.75" customHeight="1" s="19">
      <c r="AD497" s="13" t="n"/>
      <c r="AE497" s="13">
        <f>IF(A497="","",IFERROR(MAXIFS(Activities!$D:$D,Activities!$B:$B,A497),""))</f>
        <v/>
      </c>
      <c r="AF497" s="13">
        <f>IF(A497="","",IFERROR(MINIFS(Follow_Ups!$G:$G,Follow_Ups!$B:$B,A497,Follow_Ups!$H:$H,"&lt;&gt;Completed",Follow_Ups!$G:$G,"&gt;="&amp;TODAY()),""))</f>
        <v/>
      </c>
      <c r="AG497" s="2">
        <f>IF(A497="","",COUNTIF(Activities!$B:$B,A497))</f>
        <v/>
      </c>
      <c r="BG497" s="2">
        <f>IF(COUNTA(BH497:BK497)=0,"",ROUND(AVERAGE(BH497:BK497),0))</f>
        <v/>
      </c>
      <c r="BH497" s="2">
        <f>IF(BL497="","",IF(BL497&gt;=90,"HOT",IF(BL497&gt;=75,"HIGH",IF(BL497&gt;=50,"MEDIUM","LOW"))))</f>
        <v/>
      </c>
      <c r="BL497" s="2">
        <f>IFERROR(BN497/12,"")</f>
        <v/>
      </c>
      <c r="BP497" s="15" t="n"/>
    </row>
    <row r="498" ht="15.75" customHeight="1" s="19">
      <c r="AD498" s="13" t="n"/>
      <c r="AE498" s="13">
        <f>IF(A498="","",IFERROR(MAXIFS(Activities!$D:$D,Activities!$B:$B,A498),""))</f>
        <v/>
      </c>
      <c r="AF498" s="13">
        <f>IF(A498="","",IFERROR(MINIFS(Follow_Ups!$G:$G,Follow_Ups!$B:$B,A498,Follow_Ups!$H:$H,"&lt;&gt;Completed",Follow_Ups!$G:$G,"&gt;="&amp;TODAY()),""))</f>
        <v/>
      </c>
      <c r="AG498" s="2">
        <f>IF(A498="","",COUNTIF(Activities!$B:$B,A498))</f>
        <v/>
      </c>
      <c r="BG498" s="2">
        <f>IF(COUNTA(BH498:BK498)=0,"",ROUND(AVERAGE(BH498:BK498),0))</f>
        <v/>
      </c>
      <c r="BH498" s="2">
        <f>IF(BL498="","",IF(BL498&gt;=90,"HOT",IF(BL498&gt;=75,"HIGH",IF(BL498&gt;=50,"MEDIUM","LOW"))))</f>
        <v/>
      </c>
      <c r="BL498" s="2">
        <f>IFERROR(BN498/12,"")</f>
        <v/>
      </c>
      <c r="BP498" s="15" t="n"/>
    </row>
    <row r="499" ht="15.75" customHeight="1" s="19">
      <c r="AD499" s="13" t="n"/>
      <c r="AE499" s="13">
        <f>IF(A499="","",IFERROR(MAXIFS(Activities!$D:$D,Activities!$B:$B,A499),""))</f>
        <v/>
      </c>
      <c r="AF499" s="13">
        <f>IF(A499="","",IFERROR(MINIFS(Follow_Ups!$G:$G,Follow_Ups!$B:$B,A499,Follow_Ups!$H:$H,"&lt;&gt;Completed",Follow_Ups!$G:$G,"&gt;="&amp;TODAY()),""))</f>
        <v/>
      </c>
      <c r="AG499" s="2">
        <f>IF(A499="","",COUNTIF(Activities!$B:$B,A499))</f>
        <v/>
      </c>
      <c r="BG499" s="2">
        <f>IF(COUNTA(BH499:BK499)=0,"",ROUND(AVERAGE(BH499:BK499),0))</f>
        <v/>
      </c>
      <c r="BH499" s="2">
        <f>IF(BL499="","",IF(BL499&gt;=90,"HOT",IF(BL499&gt;=75,"HIGH",IF(BL499&gt;=50,"MEDIUM","LOW"))))</f>
        <v/>
      </c>
      <c r="BL499" s="2">
        <f>IFERROR(BN499/12,"")</f>
        <v/>
      </c>
      <c r="BP499" s="15" t="n"/>
    </row>
    <row r="500" ht="15.75" customHeight="1" s="19">
      <c r="AD500" s="13" t="n"/>
      <c r="AE500" s="13">
        <f>IF(A500="","",IFERROR(MAXIFS(Activities!$D:$D,Activities!$B:$B,A500),""))</f>
        <v/>
      </c>
      <c r="AF500" s="13">
        <f>IF(A500="","",IFERROR(MINIFS(Follow_Ups!$G:$G,Follow_Ups!$B:$B,A500,Follow_Ups!$H:$H,"&lt;&gt;Completed",Follow_Ups!$G:$G,"&gt;="&amp;TODAY()),""))</f>
        <v/>
      </c>
      <c r="AG500" s="2">
        <f>IF(A500="","",COUNTIF(Activities!$B:$B,A500))</f>
        <v/>
      </c>
      <c r="BG500" s="2">
        <f>IF(COUNTA(BH500:BK500)=0,"",ROUND(AVERAGE(BH500:BK500),0))</f>
        <v/>
      </c>
      <c r="BH500" s="2">
        <f>IF(BL500="","",IF(BL500&gt;=90,"HOT",IF(BL500&gt;=75,"HIGH",IF(BL500&gt;=50,"MEDIUM","LOW"))))</f>
        <v/>
      </c>
      <c r="BL500" s="2">
        <f>IFERROR(BN500/12,"")</f>
        <v/>
      </c>
      <c r="BP500" s="15" t="n"/>
    </row>
    <row r="501" ht="15.75" customHeight="1" s="19">
      <c r="AD501" s="13" t="n"/>
      <c r="AE501" s="13">
        <f>IF(A501="","",IFERROR(MAXIFS(Activities!$D:$D,Activities!$B:$B,A501),""))</f>
        <v/>
      </c>
      <c r="AF501" s="13">
        <f>IF(A501="","",IFERROR(MINIFS(Follow_Ups!$G:$G,Follow_Ups!$B:$B,A501,Follow_Ups!$H:$H,"&lt;&gt;Completed",Follow_Ups!$G:$G,"&gt;="&amp;TODAY()),""))</f>
        <v/>
      </c>
      <c r="AG501" s="2">
        <f>IF(A501="","",COUNTIF(Activities!$B:$B,A501))</f>
        <v/>
      </c>
      <c r="BG501" s="2">
        <f>IF(COUNTA(BH501:BK501)=0,"",ROUND(AVERAGE(BH501:BK501),0))</f>
        <v/>
      </c>
      <c r="BH501" s="2">
        <f>IF(BL501="","",IF(BL501&gt;=90,"HOT",IF(BL501&gt;=75,"HIGH",IF(BL501&gt;=50,"MEDIUM","LOW"))))</f>
        <v/>
      </c>
      <c r="BL501" s="2">
        <f>IFERROR(BN501/12,"")</f>
        <v/>
      </c>
      <c r="BP501" s="15" t="n"/>
    </row>
  </sheetData>
  <autoFilter ref="$A$1:$BO$501"/>
  <conditionalFormatting sqref="BL2:BL501">
    <cfRule type="expression" priority="1" dxfId="5">
      <formula>BL2&gt;=90</formula>
    </cfRule>
    <cfRule type="expression" priority="2" dxfId="6">
      <formula>AND(BL2&gt;=75,BL2&lt;90)</formula>
    </cfRule>
    <cfRule type="expression" priority="3" dxfId="7">
      <formula>AND(BL2&gt;=50,BL2&lt;75)</formula>
    </cfRule>
  </conditionalFormatting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19" min="1" max="14"/>
    <col width="8.710000000000001" customWidth="1" style="19" min="15" max="26"/>
  </cols>
  <sheetData>
    <row r="1" ht="30" customHeight="1" s="19">
      <c r="A1" s="17" t="inlineStr">
        <is>
          <t>Contact ID</t>
        </is>
      </c>
      <c r="B1" s="17" t="inlineStr">
        <is>
          <t>Lead ID</t>
        </is>
      </c>
      <c r="C1" s="17" t="inlineStr">
        <is>
          <t>Business Name</t>
        </is>
      </c>
      <c r="D1" s="17" t="inlineStr">
        <is>
          <t>First Name</t>
        </is>
      </c>
      <c r="E1" s="17" t="inlineStr">
        <is>
          <t>Last Name</t>
        </is>
      </c>
      <c r="F1" s="17" t="inlineStr">
        <is>
          <t>Title / Role</t>
        </is>
      </c>
      <c r="G1" s="17" t="inlineStr">
        <is>
          <t>Decision Maker?</t>
        </is>
      </c>
      <c r="H1" s="17" t="inlineStr">
        <is>
          <t>Phone</t>
        </is>
      </c>
      <c r="I1" s="17" t="inlineStr">
        <is>
          <t>Email</t>
        </is>
      </c>
      <c r="J1" s="17" t="inlineStr">
        <is>
          <t>LinkedIn</t>
        </is>
      </c>
      <c r="K1" s="17" t="inlineStr">
        <is>
          <t>Instagram</t>
        </is>
      </c>
      <c r="L1" s="17" t="inlineStr">
        <is>
          <t>Preferred Contact Method</t>
        </is>
      </c>
      <c r="M1" s="17" t="inlineStr">
        <is>
          <t>Contact Status</t>
        </is>
      </c>
      <c r="N1" s="17" t="inlineStr">
        <is>
          <t>Notes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1:$N$501"/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2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19" min="1" max="16"/>
    <col width="8.710000000000001" customWidth="1" style="19" min="17" max="26"/>
  </cols>
  <sheetData>
    <row r="1" ht="30" customHeight="1" s="19">
      <c r="A1" s="17" t="inlineStr">
        <is>
          <t>Activity ID</t>
        </is>
      </c>
      <c r="B1" s="17" t="inlineStr">
        <is>
          <t>Lead ID</t>
        </is>
      </c>
      <c r="C1" s="17" t="inlineStr">
        <is>
          <t>Business Name</t>
        </is>
      </c>
      <c r="D1" s="17" t="inlineStr">
        <is>
          <t>Date</t>
        </is>
      </c>
      <c r="E1" s="17" t="inlineStr">
        <is>
          <t>Time</t>
        </is>
      </c>
      <c r="F1" s="17" t="inlineStr">
        <is>
          <t>Activity Type</t>
        </is>
      </c>
      <c r="G1" s="17" t="inlineStr">
        <is>
          <t>Direction</t>
        </is>
      </c>
      <c r="H1" s="17" t="inlineStr">
        <is>
          <t>Contact Method</t>
        </is>
      </c>
      <c r="I1" s="17" t="inlineStr">
        <is>
          <t>Contact Person</t>
        </is>
      </c>
      <c r="J1" s="17" t="inlineStr">
        <is>
          <t>Outcome</t>
        </is>
      </c>
      <c r="K1" s="17" t="inlineStr">
        <is>
          <t>Response / Summary</t>
        </is>
      </c>
      <c r="L1" s="17" t="inlineStr">
        <is>
          <t>Objection</t>
        </is>
      </c>
      <c r="M1" s="17" t="inlineStr">
        <is>
          <t>Follow-Up Required?</t>
        </is>
      </c>
      <c r="N1" s="17" t="inlineStr">
        <is>
          <t>Follow-Up Date</t>
        </is>
      </c>
      <c r="O1" s="17" t="inlineStr">
        <is>
          <t>Next Action</t>
        </is>
      </c>
      <c r="P1" s="17" t="inlineStr">
        <is>
          <t>Notes</t>
        </is>
      </c>
    </row>
    <row r="2">
      <c r="D2" s="13" t="n"/>
      <c r="N2" s="13" t="n"/>
    </row>
    <row r="3">
      <c r="D3" s="13" t="n"/>
      <c r="N3" s="13" t="n"/>
    </row>
    <row r="4">
      <c r="D4" s="13" t="n"/>
      <c r="N4" s="13" t="n"/>
    </row>
    <row r="5">
      <c r="D5" s="13" t="n"/>
      <c r="N5" s="13" t="n"/>
    </row>
    <row r="6">
      <c r="D6" s="13" t="n"/>
      <c r="N6" s="13" t="n"/>
    </row>
    <row r="7">
      <c r="D7" s="13" t="n"/>
      <c r="N7" s="13" t="n"/>
    </row>
    <row r="8">
      <c r="D8" s="13" t="n"/>
      <c r="N8" s="13" t="n"/>
    </row>
    <row r="9">
      <c r="D9" s="13" t="n"/>
      <c r="N9" s="13" t="n"/>
    </row>
    <row r="10">
      <c r="D10" s="13" t="n"/>
      <c r="N10" s="13" t="n"/>
    </row>
    <row r="11">
      <c r="D11" s="13" t="n"/>
      <c r="N11" s="13" t="n"/>
    </row>
    <row r="12">
      <c r="D12" s="13" t="n"/>
      <c r="N12" s="13" t="n"/>
    </row>
    <row r="13">
      <c r="D13" s="13" t="n"/>
      <c r="N13" s="13" t="n"/>
    </row>
    <row r="14">
      <c r="D14" s="13" t="n"/>
      <c r="N14" s="13" t="n"/>
    </row>
    <row r="15">
      <c r="D15" s="13" t="n"/>
      <c r="N15" s="13" t="n"/>
    </row>
    <row r="16">
      <c r="D16" s="13" t="n"/>
      <c r="N16" s="13" t="n"/>
    </row>
    <row r="17">
      <c r="D17" s="13" t="n"/>
      <c r="N17" s="13" t="n"/>
    </row>
    <row r="18">
      <c r="D18" s="13" t="n"/>
      <c r="N18" s="13" t="n"/>
    </row>
    <row r="19">
      <c r="D19" s="13" t="n"/>
      <c r="N19" s="13" t="n"/>
    </row>
    <row r="20">
      <c r="D20" s="13" t="n"/>
      <c r="N20" s="13" t="n"/>
    </row>
    <row r="21" ht="15.75" customHeight="1" s="19">
      <c r="D21" s="13" t="n"/>
      <c r="N21" s="13" t="n"/>
    </row>
    <row r="22" ht="15.75" customHeight="1" s="19">
      <c r="D22" s="13" t="n"/>
      <c r="N22" s="13" t="n"/>
    </row>
    <row r="23" ht="15.75" customHeight="1" s="19">
      <c r="D23" s="13" t="n"/>
      <c r="N23" s="13" t="n"/>
    </row>
    <row r="24" ht="15.75" customHeight="1" s="19">
      <c r="D24" s="13" t="n"/>
      <c r="N24" s="13" t="n"/>
    </row>
    <row r="25" ht="15.75" customHeight="1" s="19">
      <c r="D25" s="13" t="n"/>
      <c r="N25" s="13" t="n"/>
    </row>
    <row r="26" ht="15.75" customHeight="1" s="19">
      <c r="D26" s="13" t="n"/>
      <c r="N26" s="13" t="n"/>
    </row>
    <row r="27" ht="15.75" customHeight="1" s="19">
      <c r="D27" s="13" t="n"/>
      <c r="N27" s="13" t="n"/>
    </row>
    <row r="28" ht="15.75" customHeight="1" s="19">
      <c r="D28" s="13" t="n"/>
      <c r="N28" s="13" t="n"/>
    </row>
    <row r="29" ht="15.75" customHeight="1" s="19">
      <c r="D29" s="13" t="n"/>
      <c r="N29" s="13" t="n"/>
    </row>
    <row r="30" ht="15.75" customHeight="1" s="19">
      <c r="D30" s="13" t="n"/>
      <c r="N30" s="13" t="n"/>
    </row>
    <row r="31" ht="15.75" customHeight="1" s="19">
      <c r="D31" s="13" t="n"/>
      <c r="N31" s="13" t="n"/>
    </row>
    <row r="32" ht="15.75" customHeight="1" s="19">
      <c r="D32" s="13" t="n"/>
      <c r="N32" s="13" t="n"/>
    </row>
    <row r="33" ht="15.75" customHeight="1" s="19">
      <c r="D33" s="13" t="n"/>
      <c r="N33" s="13" t="n"/>
    </row>
    <row r="34" ht="15.75" customHeight="1" s="19">
      <c r="D34" s="13" t="n"/>
      <c r="N34" s="13" t="n"/>
    </row>
    <row r="35" ht="15.75" customHeight="1" s="19">
      <c r="D35" s="13" t="n"/>
      <c r="N35" s="13" t="n"/>
    </row>
    <row r="36" ht="15.75" customHeight="1" s="19">
      <c r="D36" s="13" t="n"/>
      <c r="N36" s="13" t="n"/>
    </row>
    <row r="37" ht="15.75" customHeight="1" s="19">
      <c r="D37" s="13" t="n"/>
      <c r="N37" s="13" t="n"/>
    </row>
    <row r="38" ht="15.75" customHeight="1" s="19">
      <c r="D38" s="13" t="n"/>
      <c r="N38" s="13" t="n"/>
    </row>
    <row r="39" ht="15.75" customHeight="1" s="19">
      <c r="D39" s="13" t="n"/>
      <c r="N39" s="13" t="n"/>
    </row>
    <row r="40" ht="15.75" customHeight="1" s="19">
      <c r="D40" s="13" t="n"/>
      <c r="N40" s="13" t="n"/>
    </row>
    <row r="41" ht="15.75" customHeight="1" s="19">
      <c r="D41" s="13" t="n"/>
      <c r="N41" s="13" t="n"/>
    </row>
    <row r="42" ht="15.75" customHeight="1" s="19">
      <c r="D42" s="13" t="n"/>
      <c r="N42" s="13" t="n"/>
    </row>
    <row r="43" ht="15.75" customHeight="1" s="19">
      <c r="D43" s="13" t="n"/>
      <c r="N43" s="13" t="n"/>
    </row>
    <row r="44" ht="15.75" customHeight="1" s="19">
      <c r="D44" s="13" t="n"/>
      <c r="N44" s="13" t="n"/>
    </row>
    <row r="45" ht="15.75" customHeight="1" s="19">
      <c r="D45" s="13" t="n"/>
      <c r="N45" s="13" t="n"/>
    </row>
    <row r="46" ht="15.75" customHeight="1" s="19">
      <c r="D46" s="13" t="n"/>
      <c r="N46" s="13" t="n"/>
    </row>
    <row r="47" ht="15.75" customHeight="1" s="19">
      <c r="D47" s="13" t="n"/>
      <c r="N47" s="13" t="n"/>
    </row>
    <row r="48" ht="15.75" customHeight="1" s="19">
      <c r="D48" s="13" t="n"/>
      <c r="N48" s="13" t="n"/>
    </row>
    <row r="49" ht="15.75" customHeight="1" s="19">
      <c r="D49" s="13" t="n"/>
      <c r="N49" s="13" t="n"/>
    </row>
    <row r="50" ht="15.75" customHeight="1" s="19">
      <c r="D50" s="13" t="n"/>
      <c r="N50" s="13" t="n"/>
    </row>
    <row r="51" ht="15.75" customHeight="1" s="19">
      <c r="D51" s="13" t="n"/>
      <c r="N51" s="13" t="n"/>
    </row>
    <row r="52" ht="15.75" customHeight="1" s="19">
      <c r="D52" s="13" t="n"/>
      <c r="N52" s="13" t="n"/>
    </row>
    <row r="53" ht="15.75" customHeight="1" s="19">
      <c r="D53" s="13" t="n"/>
      <c r="N53" s="13" t="n"/>
    </row>
    <row r="54" ht="15.75" customHeight="1" s="19">
      <c r="D54" s="13" t="n"/>
      <c r="N54" s="13" t="n"/>
    </row>
    <row r="55" ht="15.75" customHeight="1" s="19">
      <c r="D55" s="13" t="n"/>
      <c r="N55" s="13" t="n"/>
    </row>
    <row r="56" ht="15.75" customHeight="1" s="19">
      <c r="D56" s="13" t="n"/>
      <c r="N56" s="13" t="n"/>
    </row>
    <row r="57" ht="15.75" customHeight="1" s="19">
      <c r="D57" s="13" t="n"/>
      <c r="N57" s="13" t="n"/>
    </row>
    <row r="58" ht="15.75" customHeight="1" s="19">
      <c r="D58" s="13" t="n"/>
      <c r="N58" s="13" t="n"/>
    </row>
    <row r="59" ht="15.75" customHeight="1" s="19">
      <c r="D59" s="13" t="n"/>
      <c r="N59" s="13" t="n"/>
    </row>
    <row r="60" ht="15.75" customHeight="1" s="19">
      <c r="D60" s="13" t="n"/>
      <c r="N60" s="13" t="n"/>
    </row>
    <row r="61" ht="15.75" customHeight="1" s="19">
      <c r="D61" s="13" t="n"/>
      <c r="N61" s="13" t="n"/>
    </row>
    <row r="62" ht="15.75" customHeight="1" s="19">
      <c r="D62" s="13" t="n"/>
      <c r="N62" s="13" t="n"/>
    </row>
    <row r="63" ht="15.75" customHeight="1" s="19">
      <c r="D63" s="13" t="n"/>
      <c r="N63" s="13" t="n"/>
    </row>
    <row r="64" ht="15.75" customHeight="1" s="19">
      <c r="D64" s="13" t="n"/>
      <c r="N64" s="13" t="n"/>
    </row>
    <row r="65" ht="15.75" customHeight="1" s="19">
      <c r="D65" s="13" t="n"/>
      <c r="N65" s="13" t="n"/>
    </row>
    <row r="66" ht="15.75" customHeight="1" s="19">
      <c r="D66" s="13" t="n"/>
      <c r="N66" s="13" t="n"/>
    </row>
    <row r="67" ht="15.75" customHeight="1" s="19">
      <c r="D67" s="13" t="n"/>
      <c r="N67" s="13" t="n"/>
    </row>
    <row r="68" ht="15.75" customHeight="1" s="19">
      <c r="D68" s="13" t="n"/>
      <c r="N68" s="13" t="n"/>
    </row>
    <row r="69" ht="15.75" customHeight="1" s="19">
      <c r="D69" s="13" t="n"/>
      <c r="N69" s="13" t="n"/>
    </row>
    <row r="70" ht="15.75" customHeight="1" s="19">
      <c r="D70" s="13" t="n"/>
      <c r="N70" s="13" t="n"/>
    </row>
    <row r="71" ht="15.75" customHeight="1" s="19">
      <c r="D71" s="13" t="n"/>
      <c r="N71" s="13" t="n"/>
    </row>
    <row r="72" ht="15.75" customHeight="1" s="19">
      <c r="D72" s="13" t="n"/>
      <c r="N72" s="13" t="n"/>
    </row>
    <row r="73" ht="15.75" customHeight="1" s="19">
      <c r="D73" s="13" t="n"/>
      <c r="N73" s="13" t="n"/>
    </row>
    <row r="74" ht="15.75" customHeight="1" s="19">
      <c r="D74" s="13" t="n"/>
      <c r="N74" s="13" t="n"/>
    </row>
    <row r="75" ht="15.75" customHeight="1" s="19">
      <c r="D75" s="13" t="n"/>
      <c r="N75" s="13" t="n"/>
    </row>
    <row r="76" ht="15.75" customHeight="1" s="19">
      <c r="D76" s="13" t="n"/>
      <c r="N76" s="13" t="n"/>
    </row>
    <row r="77" ht="15.75" customHeight="1" s="19">
      <c r="D77" s="13" t="n"/>
      <c r="N77" s="13" t="n"/>
    </row>
    <row r="78" ht="15.75" customHeight="1" s="19">
      <c r="D78" s="13" t="n"/>
      <c r="N78" s="13" t="n"/>
    </row>
    <row r="79" ht="15.75" customHeight="1" s="19">
      <c r="D79" s="13" t="n"/>
      <c r="N79" s="13" t="n"/>
    </row>
    <row r="80" ht="15.75" customHeight="1" s="19">
      <c r="D80" s="13" t="n"/>
      <c r="N80" s="13" t="n"/>
    </row>
    <row r="81" ht="15.75" customHeight="1" s="19">
      <c r="D81" s="13" t="n"/>
      <c r="N81" s="13" t="n"/>
    </row>
    <row r="82" ht="15.75" customHeight="1" s="19">
      <c r="D82" s="13" t="n"/>
      <c r="N82" s="13" t="n"/>
    </row>
    <row r="83" ht="15.75" customHeight="1" s="19">
      <c r="D83" s="13" t="n"/>
      <c r="N83" s="13" t="n"/>
    </row>
    <row r="84" ht="15.75" customHeight="1" s="19">
      <c r="D84" s="13" t="n"/>
      <c r="N84" s="13" t="n"/>
    </row>
    <row r="85" ht="15.75" customHeight="1" s="19">
      <c r="D85" s="13" t="n"/>
      <c r="N85" s="13" t="n"/>
    </row>
    <row r="86" ht="15.75" customHeight="1" s="19">
      <c r="D86" s="13" t="n"/>
      <c r="N86" s="13" t="n"/>
    </row>
    <row r="87" ht="15.75" customHeight="1" s="19">
      <c r="D87" s="13" t="n"/>
      <c r="N87" s="13" t="n"/>
    </row>
    <row r="88" ht="15.75" customHeight="1" s="19">
      <c r="D88" s="13" t="n"/>
      <c r="N88" s="13" t="n"/>
    </row>
    <row r="89" ht="15.75" customHeight="1" s="19">
      <c r="D89" s="13" t="n"/>
      <c r="N89" s="13" t="n"/>
    </row>
    <row r="90" ht="15.75" customHeight="1" s="19">
      <c r="D90" s="13" t="n"/>
      <c r="N90" s="13" t="n"/>
    </row>
    <row r="91" ht="15.75" customHeight="1" s="19">
      <c r="D91" s="13" t="n"/>
      <c r="N91" s="13" t="n"/>
    </row>
    <row r="92" ht="15.75" customHeight="1" s="19">
      <c r="D92" s="13" t="n"/>
      <c r="N92" s="13" t="n"/>
    </row>
    <row r="93" ht="15.75" customHeight="1" s="19">
      <c r="D93" s="13" t="n"/>
      <c r="N93" s="13" t="n"/>
    </row>
    <row r="94" ht="15.75" customHeight="1" s="19">
      <c r="D94" s="13" t="n"/>
      <c r="N94" s="13" t="n"/>
    </row>
    <row r="95" ht="15.75" customHeight="1" s="19">
      <c r="D95" s="13" t="n"/>
      <c r="N95" s="13" t="n"/>
    </row>
    <row r="96" ht="15.75" customHeight="1" s="19">
      <c r="D96" s="13" t="n"/>
      <c r="N96" s="13" t="n"/>
    </row>
    <row r="97" ht="15.75" customHeight="1" s="19">
      <c r="D97" s="13" t="n"/>
      <c r="N97" s="13" t="n"/>
    </row>
    <row r="98" ht="15.75" customHeight="1" s="19">
      <c r="D98" s="13" t="n"/>
      <c r="N98" s="13" t="n"/>
    </row>
    <row r="99" ht="15.75" customHeight="1" s="19">
      <c r="D99" s="13" t="n"/>
      <c r="N99" s="13" t="n"/>
    </row>
    <row r="100" ht="15.75" customHeight="1" s="19">
      <c r="D100" s="13" t="n"/>
      <c r="N100" s="13" t="n"/>
    </row>
    <row r="101" ht="15.75" customHeight="1" s="19">
      <c r="D101" s="13" t="n"/>
      <c r="N101" s="13" t="n"/>
    </row>
    <row r="102" ht="15.75" customHeight="1" s="19">
      <c r="D102" s="13" t="n"/>
      <c r="N102" s="13" t="n"/>
    </row>
    <row r="103" ht="15.75" customHeight="1" s="19">
      <c r="D103" s="13" t="n"/>
      <c r="N103" s="13" t="n"/>
    </row>
    <row r="104" ht="15.75" customHeight="1" s="19">
      <c r="D104" s="13" t="n"/>
      <c r="N104" s="13" t="n"/>
    </row>
    <row r="105" ht="15.75" customHeight="1" s="19">
      <c r="D105" s="13" t="n"/>
      <c r="N105" s="13" t="n"/>
    </row>
    <row r="106" ht="15.75" customHeight="1" s="19">
      <c r="D106" s="13" t="n"/>
      <c r="N106" s="13" t="n"/>
    </row>
    <row r="107" ht="15.75" customHeight="1" s="19">
      <c r="D107" s="13" t="n"/>
      <c r="N107" s="13" t="n"/>
    </row>
    <row r="108" ht="15.75" customHeight="1" s="19">
      <c r="D108" s="13" t="n"/>
      <c r="N108" s="13" t="n"/>
    </row>
    <row r="109" ht="15.75" customHeight="1" s="19">
      <c r="D109" s="13" t="n"/>
      <c r="N109" s="13" t="n"/>
    </row>
    <row r="110" ht="15.75" customHeight="1" s="19">
      <c r="D110" s="13" t="n"/>
      <c r="N110" s="13" t="n"/>
    </row>
    <row r="111" ht="15.75" customHeight="1" s="19">
      <c r="D111" s="13" t="n"/>
      <c r="N111" s="13" t="n"/>
    </row>
    <row r="112" ht="15.75" customHeight="1" s="19">
      <c r="D112" s="13" t="n"/>
      <c r="N112" s="13" t="n"/>
    </row>
    <row r="113" ht="15.75" customHeight="1" s="19">
      <c r="D113" s="13" t="n"/>
      <c r="N113" s="13" t="n"/>
    </row>
    <row r="114" ht="15.75" customHeight="1" s="19">
      <c r="D114" s="13" t="n"/>
      <c r="N114" s="13" t="n"/>
    </row>
    <row r="115" ht="15.75" customHeight="1" s="19">
      <c r="D115" s="13" t="n"/>
      <c r="N115" s="13" t="n"/>
    </row>
    <row r="116" ht="15.75" customHeight="1" s="19">
      <c r="D116" s="13" t="n"/>
      <c r="N116" s="13" t="n"/>
    </row>
    <row r="117" ht="15.75" customHeight="1" s="19">
      <c r="D117" s="13" t="n"/>
      <c r="N117" s="13" t="n"/>
    </row>
    <row r="118" ht="15.75" customHeight="1" s="19">
      <c r="D118" s="13" t="n"/>
      <c r="N118" s="13" t="n"/>
    </row>
    <row r="119" ht="15.75" customHeight="1" s="19">
      <c r="D119" s="13" t="n"/>
      <c r="N119" s="13" t="n"/>
    </row>
    <row r="120" ht="15.75" customHeight="1" s="19">
      <c r="D120" s="13" t="n"/>
      <c r="N120" s="13" t="n"/>
    </row>
    <row r="121" ht="15.75" customHeight="1" s="19">
      <c r="D121" s="13" t="n"/>
      <c r="N121" s="13" t="n"/>
    </row>
    <row r="122" ht="15.75" customHeight="1" s="19">
      <c r="D122" s="13" t="n"/>
      <c r="N122" s="13" t="n"/>
    </row>
    <row r="123" ht="15.75" customHeight="1" s="19">
      <c r="D123" s="13" t="n"/>
      <c r="N123" s="13" t="n"/>
    </row>
    <row r="124" ht="15.75" customHeight="1" s="19">
      <c r="D124" s="13" t="n"/>
      <c r="N124" s="13" t="n"/>
    </row>
    <row r="125" ht="15.75" customHeight="1" s="19">
      <c r="D125" s="13" t="n"/>
      <c r="N125" s="13" t="n"/>
    </row>
    <row r="126" ht="15.75" customHeight="1" s="19">
      <c r="D126" s="13" t="n"/>
      <c r="N126" s="13" t="n"/>
    </row>
    <row r="127" ht="15.75" customHeight="1" s="19">
      <c r="D127" s="13" t="n"/>
      <c r="N127" s="13" t="n"/>
    </row>
    <row r="128" ht="15.75" customHeight="1" s="19">
      <c r="D128" s="13" t="n"/>
      <c r="N128" s="13" t="n"/>
    </row>
    <row r="129" ht="15.75" customHeight="1" s="19">
      <c r="D129" s="13" t="n"/>
      <c r="N129" s="13" t="n"/>
    </row>
    <row r="130" ht="15.75" customHeight="1" s="19">
      <c r="D130" s="13" t="n"/>
      <c r="N130" s="13" t="n"/>
    </row>
    <row r="131" ht="15.75" customHeight="1" s="19">
      <c r="D131" s="13" t="n"/>
      <c r="N131" s="13" t="n"/>
    </row>
    <row r="132" ht="15.75" customHeight="1" s="19">
      <c r="D132" s="13" t="n"/>
      <c r="N132" s="13" t="n"/>
    </row>
    <row r="133" ht="15.75" customHeight="1" s="19">
      <c r="D133" s="13" t="n"/>
      <c r="N133" s="13" t="n"/>
    </row>
    <row r="134" ht="15.75" customHeight="1" s="19">
      <c r="D134" s="13" t="n"/>
      <c r="N134" s="13" t="n"/>
    </row>
    <row r="135" ht="15.75" customHeight="1" s="19">
      <c r="D135" s="13" t="n"/>
      <c r="N135" s="13" t="n"/>
    </row>
    <row r="136" ht="15.75" customHeight="1" s="19">
      <c r="D136" s="13" t="n"/>
      <c r="N136" s="13" t="n"/>
    </row>
    <row r="137" ht="15.75" customHeight="1" s="19">
      <c r="D137" s="13" t="n"/>
      <c r="N137" s="13" t="n"/>
    </row>
    <row r="138" ht="15.75" customHeight="1" s="19">
      <c r="D138" s="13" t="n"/>
      <c r="N138" s="13" t="n"/>
    </row>
    <row r="139" ht="15.75" customHeight="1" s="19">
      <c r="D139" s="13" t="n"/>
      <c r="N139" s="13" t="n"/>
    </row>
    <row r="140" ht="15.75" customHeight="1" s="19">
      <c r="D140" s="13" t="n"/>
      <c r="N140" s="13" t="n"/>
    </row>
    <row r="141" ht="15.75" customHeight="1" s="19">
      <c r="D141" s="13" t="n"/>
      <c r="N141" s="13" t="n"/>
    </row>
    <row r="142" ht="15.75" customHeight="1" s="19">
      <c r="D142" s="13" t="n"/>
      <c r="N142" s="13" t="n"/>
    </row>
    <row r="143" ht="15.75" customHeight="1" s="19">
      <c r="D143" s="13" t="n"/>
      <c r="N143" s="13" t="n"/>
    </row>
    <row r="144" ht="15.75" customHeight="1" s="19">
      <c r="D144" s="13" t="n"/>
      <c r="N144" s="13" t="n"/>
    </row>
    <row r="145" ht="15.75" customHeight="1" s="19">
      <c r="D145" s="13" t="n"/>
      <c r="N145" s="13" t="n"/>
    </row>
    <row r="146" ht="15.75" customHeight="1" s="19">
      <c r="D146" s="13" t="n"/>
      <c r="N146" s="13" t="n"/>
    </row>
    <row r="147" ht="15.75" customHeight="1" s="19">
      <c r="D147" s="13" t="n"/>
      <c r="N147" s="13" t="n"/>
    </row>
    <row r="148" ht="15.75" customHeight="1" s="19">
      <c r="D148" s="13" t="n"/>
      <c r="N148" s="13" t="n"/>
    </row>
    <row r="149" ht="15.75" customHeight="1" s="19">
      <c r="D149" s="13" t="n"/>
      <c r="N149" s="13" t="n"/>
    </row>
    <row r="150" ht="15.75" customHeight="1" s="19">
      <c r="D150" s="13" t="n"/>
      <c r="N150" s="13" t="n"/>
    </row>
    <row r="151" ht="15.75" customHeight="1" s="19">
      <c r="D151" s="13" t="n"/>
      <c r="N151" s="13" t="n"/>
    </row>
    <row r="152" ht="15.75" customHeight="1" s="19">
      <c r="D152" s="13" t="n"/>
      <c r="N152" s="13" t="n"/>
    </row>
    <row r="153" ht="15.75" customHeight="1" s="19">
      <c r="D153" s="13" t="n"/>
      <c r="N153" s="13" t="n"/>
    </row>
    <row r="154" ht="15.75" customHeight="1" s="19">
      <c r="D154" s="13" t="n"/>
      <c r="N154" s="13" t="n"/>
    </row>
    <row r="155" ht="15.75" customHeight="1" s="19">
      <c r="D155" s="13" t="n"/>
      <c r="N155" s="13" t="n"/>
    </row>
    <row r="156" ht="15.75" customHeight="1" s="19">
      <c r="D156" s="13" t="n"/>
      <c r="N156" s="13" t="n"/>
    </row>
    <row r="157" ht="15.75" customHeight="1" s="19">
      <c r="D157" s="13" t="n"/>
      <c r="N157" s="13" t="n"/>
    </row>
    <row r="158" ht="15.75" customHeight="1" s="19">
      <c r="D158" s="13" t="n"/>
      <c r="N158" s="13" t="n"/>
    </row>
    <row r="159" ht="15.75" customHeight="1" s="19">
      <c r="D159" s="13" t="n"/>
      <c r="N159" s="13" t="n"/>
    </row>
    <row r="160" ht="15.75" customHeight="1" s="19">
      <c r="D160" s="13" t="n"/>
      <c r="N160" s="13" t="n"/>
    </row>
    <row r="161" ht="15.75" customHeight="1" s="19">
      <c r="D161" s="13" t="n"/>
      <c r="N161" s="13" t="n"/>
    </row>
    <row r="162" ht="15.75" customHeight="1" s="19">
      <c r="D162" s="13" t="n"/>
      <c r="N162" s="13" t="n"/>
    </row>
    <row r="163" ht="15.75" customHeight="1" s="19">
      <c r="D163" s="13" t="n"/>
      <c r="N163" s="13" t="n"/>
    </row>
    <row r="164" ht="15.75" customHeight="1" s="19">
      <c r="D164" s="13" t="n"/>
      <c r="N164" s="13" t="n"/>
    </row>
    <row r="165" ht="15.75" customHeight="1" s="19">
      <c r="D165" s="13" t="n"/>
      <c r="N165" s="13" t="n"/>
    </row>
    <row r="166" ht="15.75" customHeight="1" s="19">
      <c r="D166" s="13" t="n"/>
      <c r="N166" s="13" t="n"/>
    </row>
    <row r="167" ht="15.75" customHeight="1" s="19">
      <c r="D167" s="13" t="n"/>
      <c r="N167" s="13" t="n"/>
    </row>
    <row r="168" ht="15.75" customHeight="1" s="19">
      <c r="D168" s="13" t="n"/>
      <c r="N168" s="13" t="n"/>
    </row>
    <row r="169" ht="15.75" customHeight="1" s="19">
      <c r="D169" s="13" t="n"/>
      <c r="N169" s="13" t="n"/>
    </row>
    <row r="170" ht="15.75" customHeight="1" s="19">
      <c r="D170" s="13" t="n"/>
      <c r="N170" s="13" t="n"/>
    </row>
    <row r="171" ht="15.75" customHeight="1" s="19">
      <c r="D171" s="13" t="n"/>
      <c r="N171" s="13" t="n"/>
    </row>
    <row r="172" ht="15.75" customHeight="1" s="19">
      <c r="D172" s="13" t="n"/>
      <c r="N172" s="13" t="n"/>
    </row>
    <row r="173" ht="15.75" customHeight="1" s="19">
      <c r="D173" s="13" t="n"/>
      <c r="N173" s="13" t="n"/>
    </row>
    <row r="174" ht="15.75" customHeight="1" s="19">
      <c r="D174" s="13" t="n"/>
      <c r="N174" s="13" t="n"/>
    </row>
    <row r="175" ht="15.75" customHeight="1" s="19">
      <c r="D175" s="13" t="n"/>
      <c r="N175" s="13" t="n"/>
    </row>
    <row r="176" ht="15.75" customHeight="1" s="19">
      <c r="D176" s="13" t="n"/>
      <c r="N176" s="13" t="n"/>
    </row>
    <row r="177" ht="15.75" customHeight="1" s="19">
      <c r="D177" s="13" t="n"/>
      <c r="N177" s="13" t="n"/>
    </row>
    <row r="178" ht="15.75" customHeight="1" s="19">
      <c r="D178" s="13" t="n"/>
      <c r="N178" s="13" t="n"/>
    </row>
    <row r="179" ht="15.75" customHeight="1" s="19">
      <c r="D179" s="13" t="n"/>
      <c r="N179" s="13" t="n"/>
    </row>
    <row r="180" ht="15.75" customHeight="1" s="19">
      <c r="D180" s="13" t="n"/>
      <c r="N180" s="13" t="n"/>
    </row>
    <row r="181" ht="15.75" customHeight="1" s="19">
      <c r="D181" s="13" t="n"/>
      <c r="N181" s="13" t="n"/>
    </row>
    <row r="182" ht="15.75" customHeight="1" s="19">
      <c r="D182" s="13" t="n"/>
      <c r="N182" s="13" t="n"/>
    </row>
    <row r="183" ht="15.75" customHeight="1" s="19">
      <c r="D183" s="13" t="n"/>
      <c r="N183" s="13" t="n"/>
    </row>
    <row r="184" ht="15.75" customHeight="1" s="19">
      <c r="D184" s="13" t="n"/>
      <c r="N184" s="13" t="n"/>
    </row>
    <row r="185" ht="15.75" customHeight="1" s="19">
      <c r="D185" s="13" t="n"/>
      <c r="N185" s="13" t="n"/>
    </row>
    <row r="186" ht="15.75" customHeight="1" s="19">
      <c r="D186" s="13" t="n"/>
      <c r="N186" s="13" t="n"/>
    </row>
    <row r="187" ht="15.75" customHeight="1" s="19">
      <c r="D187" s="13" t="n"/>
      <c r="N187" s="13" t="n"/>
    </row>
    <row r="188" ht="15.75" customHeight="1" s="19">
      <c r="D188" s="13" t="n"/>
      <c r="N188" s="13" t="n"/>
    </row>
    <row r="189" ht="15.75" customHeight="1" s="19">
      <c r="D189" s="13" t="n"/>
      <c r="N189" s="13" t="n"/>
    </row>
    <row r="190" ht="15.75" customHeight="1" s="19">
      <c r="D190" s="13" t="n"/>
      <c r="N190" s="13" t="n"/>
    </row>
    <row r="191" ht="15.75" customHeight="1" s="19">
      <c r="D191" s="13" t="n"/>
      <c r="N191" s="13" t="n"/>
    </row>
    <row r="192" ht="15.75" customHeight="1" s="19">
      <c r="D192" s="13" t="n"/>
      <c r="N192" s="13" t="n"/>
    </row>
    <row r="193" ht="15.75" customHeight="1" s="19">
      <c r="D193" s="13" t="n"/>
      <c r="N193" s="13" t="n"/>
    </row>
    <row r="194" ht="15.75" customHeight="1" s="19">
      <c r="D194" s="13" t="n"/>
      <c r="N194" s="13" t="n"/>
    </row>
    <row r="195" ht="15.75" customHeight="1" s="19">
      <c r="D195" s="13" t="n"/>
      <c r="N195" s="13" t="n"/>
    </row>
    <row r="196" ht="15.75" customHeight="1" s="19">
      <c r="D196" s="13" t="n"/>
      <c r="N196" s="13" t="n"/>
    </row>
    <row r="197" ht="15.75" customHeight="1" s="19">
      <c r="D197" s="13" t="n"/>
      <c r="N197" s="13" t="n"/>
    </row>
    <row r="198" ht="15.75" customHeight="1" s="19">
      <c r="D198" s="13" t="n"/>
      <c r="N198" s="13" t="n"/>
    </row>
    <row r="199" ht="15.75" customHeight="1" s="19">
      <c r="D199" s="13" t="n"/>
      <c r="N199" s="13" t="n"/>
    </row>
    <row r="200" ht="15.75" customHeight="1" s="19">
      <c r="D200" s="13" t="n"/>
      <c r="N200" s="13" t="n"/>
    </row>
    <row r="201" ht="15.75" customHeight="1" s="19">
      <c r="D201" s="13" t="n"/>
      <c r="N201" s="13" t="n"/>
    </row>
    <row r="202" ht="15.75" customHeight="1" s="19">
      <c r="D202" s="13" t="n"/>
      <c r="N202" s="13" t="n"/>
    </row>
    <row r="203" ht="15.75" customHeight="1" s="19">
      <c r="D203" s="13" t="n"/>
      <c r="N203" s="13" t="n"/>
    </row>
    <row r="204" ht="15.75" customHeight="1" s="19">
      <c r="D204" s="13" t="n"/>
      <c r="N204" s="13" t="n"/>
    </row>
    <row r="205" ht="15.75" customHeight="1" s="19">
      <c r="D205" s="13" t="n"/>
      <c r="N205" s="13" t="n"/>
    </row>
    <row r="206" ht="15.75" customHeight="1" s="19">
      <c r="D206" s="13" t="n"/>
      <c r="N206" s="13" t="n"/>
    </row>
    <row r="207" ht="15.75" customHeight="1" s="19">
      <c r="D207" s="13" t="n"/>
      <c r="N207" s="13" t="n"/>
    </row>
    <row r="208" ht="15.75" customHeight="1" s="19">
      <c r="D208" s="13" t="n"/>
      <c r="N208" s="13" t="n"/>
    </row>
    <row r="209" ht="15.75" customHeight="1" s="19">
      <c r="D209" s="13" t="n"/>
      <c r="N209" s="13" t="n"/>
    </row>
    <row r="210" ht="15.75" customHeight="1" s="19">
      <c r="D210" s="13" t="n"/>
      <c r="N210" s="13" t="n"/>
    </row>
    <row r="211" ht="15.75" customHeight="1" s="19">
      <c r="D211" s="13" t="n"/>
      <c r="N211" s="13" t="n"/>
    </row>
    <row r="212" ht="15.75" customHeight="1" s="19">
      <c r="D212" s="13" t="n"/>
      <c r="N212" s="13" t="n"/>
    </row>
    <row r="213" ht="15.75" customHeight="1" s="19">
      <c r="D213" s="13" t="n"/>
      <c r="N213" s="13" t="n"/>
    </row>
    <row r="214" ht="15.75" customHeight="1" s="19">
      <c r="D214" s="13" t="n"/>
      <c r="N214" s="13" t="n"/>
    </row>
    <row r="215" ht="15.75" customHeight="1" s="19">
      <c r="D215" s="13" t="n"/>
      <c r="N215" s="13" t="n"/>
    </row>
    <row r="216" ht="15.75" customHeight="1" s="19">
      <c r="D216" s="13" t="n"/>
      <c r="N216" s="13" t="n"/>
    </row>
    <row r="217" ht="15.75" customHeight="1" s="19">
      <c r="D217" s="13" t="n"/>
      <c r="N217" s="13" t="n"/>
    </row>
    <row r="218" ht="15.75" customHeight="1" s="19">
      <c r="D218" s="13" t="n"/>
      <c r="N218" s="13" t="n"/>
    </row>
    <row r="219" ht="15.75" customHeight="1" s="19">
      <c r="D219" s="13" t="n"/>
      <c r="N219" s="13" t="n"/>
    </row>
    <row r="220" ht="15.75" customHeight="1" s="19">
      <c r="D220" s="13" t="n"/>
      <c r="N220" s="13" t="n"/>
    </row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  <row r="1001" ht="15.75" customHeight="1" s="19"/>
  </sheetData>
  <autoFilter ref="$A$1:$P$1001"/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2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19" min="1" max="13"/>
    <col width="8.710000000000001" customWidth="1" style="19" min="14" max="26"/>
  </cols>
  <sheetData>
    <row r="1" ht="30" customHeight="1" s="19">
      <c r="A1" s="17" t="inlineStr">
        <is>
          <t>Follow-Up ID</t>
        </is>
      </c>
      <c r="B1" s="17" t="inlineStr">
        <is>
          <t>Lead ID</t>
        </is>
      </c>
      <c r="C1" s="17" t="inlineStr">
        <is>
          <t>Business Name</t>
        </is>
      </c>
      <c r="D1" s="17" t="inlineStr">
        <is>
          <t>Sequence</t>
        </is>
      </c>
      <c r="E1" s="17" t="inlineStr">
        <is>
          <t>Follow-Up Type</t>
        </is>
      </c>
      <c r="F1" s="17" t="inlineStr">
        <is>
          <t>Owner</t>
        </is>
      </c>
      <c r="G1" s="17" t="inlineStr">
        <is>
          <t>Due Date</t>
        </is>
      </c>
      <c r="H1" s="17" t="inlineStr">
        <is>
          <t>Status</t>
        </is>
      </c>
      <c r="I1" s="17" t="inlineStr">
        <is>
          <t>Priority</t>
        </is>
      </c>
      <c r="J1" s="17" t="inlineStr">
        <is>
          <t>Reason</t>
        </is>
      </c>
      <c r="K1" s="17" t="inlineStr">
        <is>
          <t>Completed Date</t>
        </is>
      </c>
      <c r="L1" s="17" t="inlineStr">
        <is>
          <t>Outcome</t>
        </is>
      </c>
      <c r="M1" s="17" t="inlineStr">
        <is>
          <t>Notes</t>
        </is>
      </c>
    </row>
    <row r="2">
      <c r="G2" s="13" t="n"/>
      <c r="K2" s="13" t="n"/>
    </row>
    <row r="3">
      <c r="G3" s="13" t="n"/>
      <c r="K3" s="13" t="n"/>
    </row>
    <row r="4">
      <c r="G4" s="13" t="n"/>
      <c r="K4" s="13" t="n"/>
    </row>
    <row r="5">
      <c r="G5" s="13" t="n"/>
      <c r="K5" s="13" t="n"/>
    </row>
    <row r="6">
      <c r="G6" s="13" t="n"/>
      <c r="K6" s="13" t="n"/>
    </row>
    <row r="7">
      <c r="G7" s="13" t="n"/>
      <c r="K7" s="13" t="n"/>
    </row>
    <row r="8">
      <c r="G8" s="13" t="n"/>
      <c r="K8" s="13" t="n"/>
    </row>
    <row r="9">
      <c r="G9" s="13" t="n"/>
      <c r="K9" s="13" t="n"/>
    </row>
    <row r="10">
      <c r="G10" s="13" t="n"/>
      <c r="K10" s="13" t="n"/>
    </row>
    <row r="11">
      <c r="G11" s="13" t="n"/>
      <c r="K11" s="13" t="n"/>
    </row>
    <row r="12">
      <c r="G12" s="13" t="n"/>
      <c r="K12" s="13" t="n"/>
    </row>
    <row r="13">
      <c r="G13" s="13" t="n"/>
      <c r="K13" s="13" t="n"/>
    </row>
    <row r="14">
      <c r="G14" s="13" t="n"/>
      <c r="K14" s="13" t="n"/>
    </row>
    <row r="15">
      <c r="G15" s="13" t="n"/>
      <c r="K15" s="13" t="n"/>
    </row>
    <row r="16">
      <c r="G16" s="13" t="n"/>
      <c r="K16" s="13" t="n"/>
    </row>
    <row r="17">
      <c r="G17" s="13" t="n"/>
      <c r="K17" s="13" t="n"/>
    </row>
    <row r="18">
      <c r="G18" s="13" t="n"/>
      <c r="K18" s="13" t="n"/>
    </row>
    <row r="19">
      <c r="G19" s="13" t="n"/>
      <c r="K19" s="13" t="n"/>
    </row>
    <row r="20">
      <c r="G20" s="13" t="n"/>
      <c r="K20" s="13" t="n"/>
    </row>
    <row r="21" ht="15.75" customHeight="1" s="19">
      <c r="G21" s="13" t="n"/>
      <c r="K21" s="13" t="n"/>
    </row>
    <row r="22" ht="15.75" customHeight="1" s="19">
      <c r="G22" s="13" t="n"/>
      <c r="K22" s="13" t="n"/>
    </row>
    <row r="23" ht="15.75" customHeight="1" s="19">
      <c r="G23" s="13" t="n"/>
      <c r="K23" s="13" t="n"/>
    </row>
    <row r="24" ht="15.75" customHeight="1" s="19">
      <c r="G24" s="13" t="n"/>
      <c r="K24" s="13" t="n"/>
    </row>
    <row r="25" ht="15.75" customHeight="1" s="19">
      <c r="G25" s="13" t="n"/>
      <c r="K25" s="13" t="n"/>
    </row>
    <row r="26" ht="15.75" customHeight="1" s="19">
      <c r="G26" s="13" t="n"/>
      <c r="K26" s="13" t="n"/>
    </row>
    <row r="27" ht="15.75" customHeight="1" s="19">
      <c r="G27" s="13" t="n"/>
      <c r="K27" s="13" t="n"/>
    </row>
    <row r="28" ht="15.75" customHeight="1" s="19">
      <c r="G28" s="13" t="n"/>
      <c r="K28" s="13" t="n"/>
    </row>
    <row r="29" ht="15.75" customHeight="1" s="19">
      <c r="G29" s="13" t="n"/>
      <c r="K29" s="13" t="n"/>
    </row>
    <row r="30" ht="15.75" customHeight="1" s="19">
      <c r="G30" s="13" t="n"/>
      <c r="K30" s="13" t="n"/>
    </row>
    <row r="31" ht="15.75" customHeight="1" s="19">
      <c r="G31" s="13" t="n"/>
      <c r="K31" s="13" t="n"/>
    </row>
    <row r="32" ht="15.75" customHeight="1" s="19">
      <c r="G32" s="13" t="n"/>
      <c r="K32" s="13" t="n"/>
    </row>
    <row r="33" ht="15.75" customHeight="1" s="19">
      <c r="G33" s="13" t="n"/>
      <c r="K33" s="13" t="n"/>
    </row>
    <row r="34" ht="15.75" customHeight="1" s="19">
      <c r="G34" s="13" t="n"/>
      <c r="K34" s="13" t="n"/>
    </row>
    <row r="35" ht="15.75" customHeight="1" s="19">
      <c r="G35" s="13" t="n"/>
      <c r="K35" s="13" t="n"/>
    </row>
    <row r="36" ht="15.75" customHeight="1" s="19">
      <c r="G36" s="13" t="n"/>
      <c r="K36" s="13" t="n"/>
    </row>
    <row r="37" ht="15.75" customHeight="1" s="19">
      <c r="G37" s="13" t="n"/>
      <c r="K37" s="13" t="n"/>
    </row>
    <row r="38" ht="15.75" customHeight="1" s="19">
      <c r="G38" s="13" t="n"/>
      <c r="K38" s="13" t="n"/>
    </row>
    <row r="39" ht="15.75" customHeight="1" s="19">
      <c r="G39" s="13" t="n"/>
      <c r="K39" s="13" t="n"/>
    </row>
    <row r="40" ht="15.75" customHeight="1" s="19">
      <c r="G40" s="13" t="n"/>
      <c r="K40" s="13" t="n"/>
    </row>
    <row r="41" ht="15.75" customHeight="1" s="19">
      <c r="G41" s="13" t="n"/>
      <c r="K41" s="13" t="n"/>
    </row>
    <row r="42" ht="15.75" customHeight="1" s="19">
      <c r="G42" s="13" t="n"/>
      <c r="K42" s="13" t="n"/>
    </row>
    <row r="43" ht="15.75" customHeight="1" s="19">
      <c r="G43" s="13" t="n"/>
      <c r="K43" s="13" t="n"/>
    </row>
    <row r="44" ht="15.75" customHeight="1" s="19">
      <c r="G44" s="13" t="n"/>
      <c r="K44" s="13" t="n"/>
    </row>
    <row r="45" ht="15.75" customHeight="1" s="19">
      <c r="G45" s="13" t="n"/>
      <c r="K45" s="13" t="n"/>
    </row>
    <row r="46" ht="15.75" customHeight="1" s="19">
      <c r="G46" s="13" t="n"/>
      <c r="K46" s="13" t="n"/>
    </row>
    <row r="47" ht="15.75" customHeight="1" s="19">
      <c r="G47" s="13" t="n"/>
      <c r="K47" s="13" t="n"/>
    </row>
    <row r="48" ht="15.75" customHeight="1" s="19">
      <c r="G48" s="13" t="n"/>
      <c r="K48" s="13" t="n"/>
    </row>
    <row r="49" ht="15.75" customHeight="1" s="19">
      <c r="G49" s="13" t="n"/>
      <c r="K49" s="13" t="n"/>
    </row>
    <row r="50" ht="15.75" customHeight="1" s="19">
      <c r="G50" s="13" t="n"/>
      <c r="K50" s="13" t="n"/>
    </row>
    <row r="51" ht="15.75" customHeight="1" s="19">
      <c r="G51" s="13" t="n"/>
      <c r="K51" s="13" t="n"/>
    </row>
    <row r="52" ht="15.75" customHeight="1" s="19">
      <c r="G52" s="13" t="n"/>
      <c r="K52" s="13" t="n"/>
    </row>
    <row r="53" ht="15.75" customHeight="1" s="19">
      <c r="G53" s="13" t="n"/>
      <c r="K53" s="13" t="n"/>
    </row>
    <row r="54" ht="15.75" customHeight="1" s="19">
      <c r="G54" s="13" t="n"/>
      <c r="K54" s="13" t="n"/>
    </row>
    <row r="55" ht="15.75" customHeight="1" s="19">
      <c r="G55" s="13" t="n"/>
      <c r="K55" s="13" t="n"/>
    </row>
    <row r="56" ht="15.75" customHeight="1" s="19">
      <c r="G56" s="13" t="n"/>
      <c r="K56" s="13" t="n"/>
    </row>
    <row r="57" ht="15.75" customHeight="1" s="19">
      <c r="G57" s="13" t="n"/>
      <c r="K57" s="13" t="n"/>
    </row>
    <row r="58" ht="15.75" customHeight="1" s="19">
      <c r="G58" s="13" t="n"/>
      <c r="K58" s="13" t="n"/>
    </row>
    <row r="59" ht="15.75" customHeight="1" s="19">
      <c r="G59" s="13" t="n"/>
      <c r="K59" s="13" t="n"/>
    </row>
    <row r="60" ht="15.75" customHeight="1" s="19">
      <c r="G60" s="13" t="n"/>
      <c r="K60" s="13" t="n"/>
    </row>
    <row r="61" ht="15.75" customHeight="1" s="19">
      <c r="G61" s="13" t="n"/>
      <c r="K61" s="13" t="n"/>
    </row>
    <row r="62" ht="15.75" customHeight="1" s="19">
      <c r="G62" s="13" t="n"/>
      <c r="K62" s="13" t="n"/>
    </row>
    <row r="63" ht="15.75" customHeight="1" s="19">
      <c r="G63" s="13" t="n"/>
      <c r="K63" s="13" t="n"/>
    </row>
    <row r="64" ht="15.75" customHeight="1" s="19">
      <c r="G64" s="13" t="n"/>
      <c r="K64" s="13" t="n"/>
    </row>
    <row r="65" ht="15.75" customHeight="1" s="19">
      <c r="G65" s="13" t="n"/>
      <c r="K65" s="13" t="n"/>
    </row>
    <row r="66" ht="15.75" customHeight="1" s="19">
      <c r="G66" s="13" t="n"/>
      <c r="K66" s="13" t="n"/>
    </row>
    <row r="67" ht="15.75" customHeight="1" s="19">
      <c r="G67" s="13" t="n"/>
      <c r="K67" s="13" t="n"/>
    </row>
    <row r="68" ht="15.75" customHeight="1" s="19">
      <c r="G68" s="13" t="n"/>
      <c r="K68" s="13" t="n"/>
    </row>
    <row r="69" ht="15.75" customHeight="1" s="19">
      <c r="G69" s="13" t="n"/>
      <c r="K69" s="13" t="n"/>
    </row>
    <row r="70" ht="15.75" customHeight="1" s="19">
      <c r="G70" s="13" t="n"/>
      <c r="K70" s="13" t="n"/>
    </row>
    <row r="71" ht="15.75" customHeight="1" s="19">
      <c r="G71" s="13" t="n"/>
      <c r="K71" s="13" t="n"/>
    </row>
    <row r="72" ht="15.75" customHeight="1" s="19">
      <c r="G72" s="13" t="n"/>
      <c r="K72" s="13" t="n"/>
    </row>
    <row r="73" ht="15.75" customHeight="1" s="19">
      <c r="G73" s="13" t="n"/>
      <c r="K73" s="13" t="n"/>
    </row>
    <row r="74" ht="15.75" customHeight="1" s="19">
      <c r="G74" s="13" t="n"/>
      <c r="K74" s="13" t="n"/>
    </row>
    <row r="75" ht="15.75" customHeight="1" s="19">
      <c r="G75" s="13" t="n"/>
      <c r="K75" s="13" t="n"/>
    </row>
    <row r="76" ht="15.75" customHeight="1" s="19">
      <c r="G76" s="13" t="n"/>
      <c r="K76" s="13" t="n"/>
    </row>
    <row r="77" ht="15.75" customHeight="1" s="19">
      <c r="G77" s="13" t="n"/>
      <c r="K77" s="13" t="n"/>
    </row>
    <row r="78" ht="15.75" customHeight="1" s="19">
      <c r="G78" s="13" t="n"/>
      <c r="K78" s="13" t="n"/>
    </row>
    <row r="79" ht="15.75" customHeight="1" s="19">
      <c r="G79" s="13" t="n"/>
      <c r="K79" s="13" t="n"/>
    </row>
    <row r="80" ht="15.75" customHeight="1" s="19">
      <c r="G80" s="13" t="n"/>
      <c r="K80" s="13" t="n"/>
    </row>
    <row r="81" ht="15.75" customHeight="1" s="19">
      <c r="G81" s="13" t="n"/>
      <c r="K81" s="13" t="n"/>
    </row>
    <row r="82" ht="15.75" customHeight="1" s="19">
      <c r="G82" s="13" t="n"/>
      <c r="K82" s="13" t="n"/>
    </row>
    <row r="83" ht="15.75" customHeight="1" s="19">
      <c r="G83" s="13" t="n"/>
      <c r="K83" s="13" t="n"/>
    </row>
    <row r="84" ht="15.75" customHeight="1" s="19">
      <c r="G84" s="13" t="n"/>
      <c r="K84" s="13" t="n"/>
    </row>
    <row r="85" ht="15.75" customHeight="1" s="19">
      <c r="G85" s="13" t="n"/>
      <c r="K85" s="13" t="n"/>
    </row>
    <row r="86" ht="15.75" customHeight="1" s="19">
      <c r="G86" s="13" t="n"/>
      <c r="K86" s="13" t="n"/>
    </row>
    <row r="87" ht="15.75" customHeight="1" s="19">
      <c r="G87" s="13" t="n"/>
      <c r="K87" s="13" t="n"/>
    </row>
    <row r="88" ht="15.75" customHeight="1" s="19">
      <c r="G88" s="13" t="n"/>
      <c r="K88" s="13" t="n"/>
    </row>
    <row r="89" ht="15.75" customHeight="1" s="19">
      <c r="G89" s="13" t="n"/>
      <c r="K89" s="13" t="n"/>
    </row>
    <row r="90" ht="15.75" customHeight="1" s="19">
      <c r="G90" s="13" t="n"/>
      <c r="K90" s="13" t="n"/>
    </row>
    <row r="91" ht="15.75" customHeight="1" s="19">
      <c r="G91" s="13" t="n"/>
      <c r="K91" s="13" t="n"/>
    </row>
    <row r="92" ht="15.75" customHeight="1" s="19">
      <c r="G92" s="13" t="n"/>
      <c r="K92" s="13" t="n"/>
    </row>
    <row r="93" ht="15.75" customHeight="1" s="19">
      <c r="G93" s="13" t="n"/>
      <c r="K93" s="13" t="n"/>
    </row>
    <row r="94" ht="15.75" customHeight="1" s="19">
      <c r="G94" s="13" t="n"/>
      <c r="K94" s="13" t="n"/>
    </row>
    <row r="95" ht="15.75" customHeight="1" s="19">
      <c r="G95" s="13" t="n"/>
      <c r="K95" s="13" t="n"/>
    </row>
    <row r="96" ht="15.75" customHeight="1" s="19">
      <c r="G96" s="13" t="n"/>
      <c r="K96" s="13" t="n"/>
    </row>
    <row r="97" ht="15.75" customHeight="1" s="19">
      <c r="G97" s="13" t="n"/>
      <c r="K97" s="13" t="n"/>
    </row>
    <row r="98" ht="15.75" customHeight="1" s="19">
      <c r="G98" s="13" t="n"/>
      <c r="K98" s="13" t="n"/>
    </row>
    <row r="99" ht="15.75" customHeight="1" s="19">
      <c r="G99" s="13" t="n"/>
      <c r="K99" s="13" t="n"/>
    </row>
    <row r="100" ht="15.75" customHeight="1" s="19">
      <c r="G100" s="13" t="n"/>
      <c r="K100" s="13" t="n"/>
    </row>
    <row r="101" ht="15.75" customHeight="1" s="19">
      <c r="G101" s="13" t="n"/>
      <c r="K101" s="13" t="n"/>
    </row>
    <row r="102" ht="15.75" customHeight="1" s="19">
      <c r="G102" s="13" t="n"/>
      <c r="K102" s="13" t="n"/>
    </row>
    <row r="103" ht="15.75" customHeight="1" s="19">
      <c r="G103" s="13" t="n"/>
      <c r="K103" s="13" t="n"/>
    </row>
    <row r="104" ht="15.75" customHeight="1" s="19">
      <c r="G104" s="13" t="n"/>
      <c r="K104" s="13" t="n"/>
    </row>
    <row r="105" ht="15.75" customHeight="1" s="19">
      <c r="G105" s="13" t="n"/>
      <c r="K105" s="13" t="n"/>
    </row>
    <row r="106" ht="15.75" customHeight="1" s="19">
      <c r="G106" s="13" t="n"/>
      <c r="K106" s="13" t="n"/>
    </row>
    <row r="107" ht="15.75" customHeight="1" s="19">
      <c r="G107" s="13" t="n"/>
      <c r="K107" s="13" t="n"/>
    </row>
    <row r="108" ht="15.75" customHeight="1" s="19">
      <c r="G108" s="13" t="n"/>
      <c r="K108" s="13" t="n"/>
    </row>
    <row r="109" ht="15.75" customHeight="1" s="19">
      <c r="G109" s="13" t="n"/>
      <c r="K109" s="13" t="n"/>
    </row>
    <row r="110" ht="15.75" customHeight="1" s="19">
      <c r="G110" s="13" t="n"/>
      <c r="K110" s="13" t="n"/>
    </row>
    <row r="111" ht="15.75" customHeight="1" s="19">
      <c r="G111" s="13" t="n"/>
      <c r="K111" s="13" t="n"/>
    </row>
    <row r="112" ht="15.75" customHeight="1" s="19">
      <c r="G112" s="13" t="n"/>
      <c r="K112" s="13" t="n"/>
    </row>
    <row r="113" ht="15.75" customHeight="1" s="19">
      <c r="G113" s="13" t="n"/>
      <c r="K113" s="13" t="n"/>
    </row>
    <row r="114" ht="15.75" customHeight="1" s="19">
      <c r="G114" s="13" t="n"/>
      <c r="K114" s="13" t="n"/>
    </row>
    <row r="115" ht="15.75" customHeight="1" s="19">
      <c r="G115" s="13" t="n"/>
      <c r="K115" s="13" t="n"/>
    </row>
    <row r="116" ht="15.75" customHeight="1" s="19">
      <c r="G116" s="13" t="n"/>
      <c r="K116" s="13" t="n"/>
    </row>
    <row r="117" ht="15.75" customHeight="1" s="19">
      <c r="G117" s="13" t="n"/>
      <c r="K117" s="13" t="n"/>
    </row>
    <row r="118" ht="15.75" customHeight="1" s="19">
      <c r="G118" s="13" t="n"/>
      <c r="K118" s="13" t="n"/>
    </row>
    <row r="119" ht="15.75" customHeight="1" s="19">
      <c r="G119" s="13" t="n"/>
      <c r="K119" s="13" t="n"/>
    </row>
    <row r="120" ht="15.75" customHeight="1" s="19">
      <c r="G120" s="13" t="n"/>
      <c r="K120" s="13" t="n"/>
    </row>
    <row r="121" ht="15.75" customHeight="1" s="19">
      <c r="G121" s="13" t="n"/>
      <c r="K121" s="13" t="n"/>
    </row>
    <row r="122" ht="15.75" customHeight="1" s="19">
      <c r="G122" s="13" t="n"/>
      <c r="K122" s="13" t="n"/>
    </row>
    <row r="123" ht="15.75" customHeight="1" s="19">
      <c r="G123" s="13" t="n"/>
      <c r="K123" s="13" t="n"/>
    </row>
    <row r="124" ht="15.75" customHeight="1" s="19">
      <c r="G124" s="13" t="n"/>
      <c r="K124" s="13" t="n"/>
    </row>
    <row r="125" ht="15.75" customHeight="1" s="19">
      <c r="G125" s="13" t="n"/>
      <c r="K125" s="13" t="n"/>
    </row>
    <row r="126" ht="15.75" customHeight="1" s="19">
      <c r="G126" s="13" t="n"/>
      <c r="K126" s="13" t="n"/>
    </row>
    <row r="127" ht="15.75" customHeight="1" s="19">
      <c r="G127" s="13" t="n"/>
      <c r="K127" s="13" t="n"/>
    </row>
    <row r="128" ht="15.75" customHeight="1" s="19">
      <c r="G128" s="13" t="n"/>
      <c r="K128" s="13" t="n"/>
    </row>
    <row r="129" ht="15.75" customHeight="1" s="19">
      <c r="G129" s="13" t="n"/>
      <c r="K129" s="13" t="n"/>
    </row>
    <row r="130" ht="15.75" customHeight="1" s="19">
      <c r="G130" s="13" t="n"/>
      <c r="K130" s="13" t="n"/>
    </row>
    <row r="131" ht="15.75" customHeight="1" s="19">
      <c r="G131" s="13" t="n"/>
      <c r="K131" s="13" t="n"/>
    </row>
    <row r="132" ht="15.75" customHeight="1" s="19">
      <c r="G132" s="13" t="n"/>
      <c r="K132" s="13" t="n"/>
    </row>
    <row r="133" ht="15.75" customHeight="1" s="19">
      <c r="G133" s="13" t="n"/>
      <c r="K133" s="13" t="n"/>
    </row>
    <row r="134" ht="15.75" customHeight="1" s="19">
      <c r="G134" s="13" t="n"/>
      <c r="K134" s="13" t="n"/>
    </row>
    <row r="135" ht="15.75" customHeight="1" s="19">
      <c r="G135" s="13" t="n"/>
      <c r="K135" s="13" t="n"/>
    </row>
    <row r="136" ht="15.75" customHeight="1" s="19">
      <c r="G136" s="13" t="n"/>
      <c r="K136" s="13" t="n"/>
    </row>
    <row r="137" ht="15.75" customHeight="1" s="19">
      <c r="G137" s="13" t="n"/>
      <c r="K137" s="13" t="n"/>
    </row>
    <row r="138" ht="15.75" customHeight="1" s="19">
      <c r="G138" s="13" t="n"/>
      <c r="K138" s="13" t="n"/>
    </row>
    <row r="139" ht="15.75" customHeight="1" s="19">
      <c r="G139" s="13" t="n"/>
      <c r="K139" s="13" t="n"/>
    </row>
    <row r="140" ht="15.75" customHeight="1" s="19">
      <c r="G140" s="13" t="n"/>
      <c r="K140" s="13" t="n"/>
    </row>
    <row r="141" ht="15.75" customHeight="1" s="19">
      <c r="G141" s="13" t="n"/>
      <c r="K141" s="13" t="n"/>
    </row>
    <row r="142" ht="15.75" customHeight="1" s="19">
      <c r="G142" s="13" t="n"/>
      <c r="K142" s="13" t="n"/>
    </row>
    <row r="143" ht="15.75" customHeight="1" s="19">
      <c r="G143" s="13" t="n"/>
      <c r="K143" s="13" t="n"/>
    </row>
    <row r="144" ht="15.75" customHeight="1" s="19">
      <c r="G144" s="13" t="n"/>
      <c r="K144" s="13" t="n"/>
    </row>
    <row r="145" ht="15.75" customHeight="1" s="19">
      <c r="G145" s="13" t="n"/>
      <c r="K145" s="13" t="n"/>
    </row>
    <row r="146" ht="15.75" customHeight="1" s="19">
      <c r="G146" s="13" t="n"/>
      <c r="K146" s="13" t="n"/>
    </row>
    <row r="147" ht="15.75" customHeight="1" s="19">
      <c r="G147" s="13" t="n"/>
      <c r="K147" s="13" t="n"/>
    </row>
    <row r="148" ht="15.75" customHeight="1" s="19">
      <c r="G148" s="13" t="n"/>
      <c r="K148" s="13" t="n"/>
    </row>
    <row r="149" ht="15.75" customHeight="1" s="19">
      <c r="G149" s="13" t="n"/>
      <c r="K149" s="13" t="n"/>
    </row>
    <row r="150" ht="15.75" customHeight="1" s="19">
      <c r="G150" s="13" t="n"/>
      <c r="K150" s="13" t="n"/>
    </row>
    <row r="151" ht="15.75" customHeight="1" s="19">
      <c r="G151" s="13" t="n"/>
      <c r="K151" s="13" t="n"/>
    </row>
    <row r="152" ht="15.75" customHeight="1" s="19">
      <c r="G152" s="13" t="n"/>
      <c r="K152" s="13" t="n"/>
    </row>
    <row r="153" ht="15.75" customHeight="1" s="19">
      <c r="G153" s="13" t="n"/>
      <c r="K153" s="13" t="n"/>
    </row>
    <row r="154" ht="15.75" customHeight="1" s="19">
      <c r="G154" s="13" t="n"/>
      <c r="K154" s="13" t="n"/>
    </row>
    <row r="155" ht="15.75" customHeight="1" s="19">
      <c r="G155" s="13" t="n"/>
      <c r="K155" s="13" t="n"/>
    </row>
    <row r="156" ht="15.75" customHeight="1" s="19">
      <c r="G156" s="13" t="n"/>
      <c r="K156" s="13" t="n"/>
    </row>
    <row r="157" ht="15.75" customHeight="1" s="19">
      <c r="G157" s="13" t="n"/>
      <c r="K157" s="13" t="n"/>
    </row>
    <row r="158" ht="15.75" customHeight="1" s="19">
      <c r="G158" s="13" t="n"/>
      <c r="K158" s="13" t="n"/>
    </row>
    <row r="159" ht="15.75" customHeight="1" s="19">
      <c r="G159" s="13" t="n"/>
      <c r="K159" s="13" t="n"/>
    </row>
    <row r="160" ht="15.75" customHeight="1" s="19">
      <c r="G160" s="13" t="n"/>
      <c r="K160" s="13" t="n"/>
    </row>
    <row r="161" ht="15.75" customHeight="1" s="19">
      <c r="G161" s="13" t="n"/>
      <c r="K161" s="13" t="n"/>
    </row>
    <row r="162" ht="15.75" customHeight="1" s="19">
      <c r="G162" s="13" t="n"/>
      <c r="K162" s="13" t="n"/>
    </row>
    <row r="163" ht="15.75" customHeight="1" s="19">
      <c r="G163" s="13" t="n"/>
      <c r="K163" s="13" t="n"/>
    </row>
    <row r="164" ht="15.75" customHeight="1" s="19">
      <c r="G164" s="13" t="n"/>
      <c r="K164" s="13" t="n"/>
    </row>
    <row r="165" ht="15.75" customHeight="1" s="19">
      <c r="G165" s="13" t="n"/>
      <c r="K165" s="13" t="n"/>
    </row>
    <row r="166" ht="15.75" customHeight="1" s="19">
      <c r="G166" s="13" t="n"/>
      <c r="K166" s="13" t="n"/>
    </row>
    <row r="167" ht="15.75" customHeight="1" s="19">
      <c r="G167" s="13" t="n"/>
      <c r="K167" s="13" t="n"/>
    </row>
    <row r="168" ht="15.75" customHeight="1" s="19">
      <c r="G168" s="13" t="n"/>
      <c r="K168" s="13" t="n"/>
    </row>
    <row r="169" ht="15.75" customHeight="1" s="19">
      <c r="G169" s="13" t="n"/>
      <c r="K169" s="13" t="n"/>
    </row>
    <row r="170" ht="15.75" customHeight="1" s="19">
      <c r="G170" s="13" t="n"/>
      <c r="K170" s="13" t="n"/>
    </row>
    <row r="171" ht="15.75" customHeight="1" s="19">
      <c r="G171" s="13" t="n"/>
      <c r="K171" s="13" t="n"/>
    </row>
    <row r="172" ht="15.75" customHeight="1" s="19">
      <c r="G172" s="13" t="n"/>
      <c r="K172" s="13" t="n"/>
    </row>
    <row r="173" ht="15.75" customHeight="1" s="19">
      <c r="G173" s="13" t="n"/>
      <c r="K173" s="13" t="n"/>
    </row>
    <row r="174" ht="15.75" customHeight="1" s="19">
      <c r="G174" s="13" t="n"/>
      <c r="K174" s="13" t="n"/>
    </row>
    <row r="175" ht="15.75" customHeight="1" s="19">
      <c r="G175" s="13" t="n"/>
      <c r="K175" s="13" t="n"/>
    </row>
    <row r="176" ht="15.75" customHeight="1" s="19">
      <c r="G176" s="13" t="n"/>
      <c r="K176" s="13" t="n"/>
    </row>
    <row r="177" ht="15.75" customHeight="1" s="19">
      <c r="G177" s="13" t="n"/>
      <c r="K177" s="13" t="n"/>
    </row>
    <row r="178" ht="15.75" customHeight="1" s="19">
      <c r="G178" s="13" t="n"/>
      <c r="K178" s="13" t="n"/>
    </row>
    <row r="179" ht="15.75" customHeight="1" s="19">
      <c r="G179" s="13" t="n"/>
      <c r="K179" s="13" t="n"/>
    </row>
    <row r="180" ht="15.75" customHeight="1" s="19">
      <c r="G180" s="13" t="n"/>
      <c r="K180" s="13" t="n"/>
    </row>
    <row r="181" ht="15.75" customHeight="1" s="19">
      <c r="G181" s="13" t="n"/>
      <c r="K181" s="13" t="n"/>
    </row>
    <row r="182" ht="15.75" customHeight="1" s="19">
      <c r="G182" s="13" t="n"/>
      <c r="K182" s="13" t="n"/>
    </row>
    <row r="183" ht="15.75" customHeight="1" s="19">
      <c r="G183" s="13" t="n"/>
      <c r="K183" s="13" t="n"/>
    </row>
    <row r="184" ht="15.75" customHeight="1" s="19">
      <c r="G184" s="13" t="n"/>
      <c r="K184" s="13" t="n"/>
    </row>
    <row r="185" ht="15.75" customHeight="1" s="19">
      <c r="G185" s="13" t="n"/>
      <c r="K185" s="13" t="n"/>
    </row>
    <row r="186" ht="15.75" customHeight="1" s="19">
      <c r="G186" s="13" t="n"/>
      <c r="K186" s="13" t="n"/>
    </row>
    <row r="187" ht="15.75" customHeight="1" s="19">
      <c r="G187" s="13" t="n"/>
      <c r="K187" s="13" t="n"/>
    </row>
    <row r="188" ht="15.75" customHeight="1" s="19">
      <c r="G188" s="13" t="n"/>
      <c r="K188" s="13" t="n"/>
    </row>
    <row r="189" ht="15.75" customHeight="1" s="19">
      <c r="G189" s="13" t="n"/>
      <c r="K189" s="13" t="n"/>
    </row>
    <row r="190" ht="15.75" customHeight="1" s="19">
      <c r="G190" s="13" t="n"/>
      <c r="K190" s="13" t="n"/>
    </row>
    <row r="191" ht="15.75" customHeight="1" s="19">
      <c r="G191" s="13" t="n"/>
      <c r="K191" s="13" t="n"/>
    </row>
    <row r="192" ht="15.75" customHeight="1" s="19">
      <c r="G192" s="13" t="n"/>
      <c r="K192" s="13" t="n"/>
    </row>
    <row r="193" ht="15.75" customHeight="1" s="19">
      <c r="G193" s="13" t="n"/>
      <c r="K193" s="13" t="n"/>
    </row>
    <row r="194" ht="15.75" customHeight="1" s="19">
      <c r="G194" s="13" t="n"/>
      <c r="K194" s="13" t="n"/>
    </row>
    <row r="195" ht="15.75" customHeight="1" s="19">
      <c r="G195" s="13" t="n"/>
      <c r="K195" s="13" t="n"/>
    </row>
    <row r="196" ht="15.75" customHeight="1" s="19">
      <c r="G196" s="13" t="n"/>
      <c r="K196" s="13" t="n"/>
    </row>
    <row r="197" ht="15.75" customHeight="1" s="19">
      <c r="G197" s="13" t="n"/>
      <c r="K197" s="13" t="n"/>
    </row>
    <row r="198" ht="15.75" customHeight="1" s="19">
      <c r="G198" s="13" t="n"/>
      <c r="K198" s="13" t="n"/>
    </row>
    <row r="199" ht="15.75" customHeight="1" s="19">
      <c r="G199" s="13" t="n"/>
      <c r="K199" s="13" t="n"/>
    </row>
    <row r="200" ht="15.75" customHeight="1" s="19">
      <c r="G200" s="13" t="n"/>
      <c r="K200" s="13" t="n"/>
    </row>
    <row r="201" ht="15.75" customHeight="1" s="19">
      <c r="G201" s="13" t="n"/>
      <c r="K201" s="13" t="n"/>
    </row>
    <row r="202" ht="15.75" customHeight="1" s="19">
      <c r="G202" s="13" t="n"/>
      <c r="K202" s="13" t="n"/>
    </row>
    <row r="203" ht="15.75" customHeight="1" s="19">
      <c r="G203" s="13" t="n"/>
      <c r="K203" s="13" t="n"/>
    </row>
    <row r="204" ht="15.75" customHeight="1" s="19">
      <c r="G204" s="13" t="n"/>
      <c r="K204" s="13" t="n"/>
    </row>
    <row r="205" ht="15.75" customHeight="1" s="19">
      <c r="G205" s="13" t="n"/>
      <c r="K205" s="13" t="n"/>
    </row>
    <row r="206" ht="15.75" customHeight="1" s="19">
      <c r="G206" s="13" t="n"/>
      <c r="K206" s="13" t="n"/>
    </row>
    <row r="207" ht="15.75" customHeight="1" s="19">
      <c r="G207" s="13" t="n"/>
      <c r="K207" s="13" t="n"/>
    </row>
    <row r="208" ht="15.75" customHeight="1" s="19">
      <c r="G208" s="13" t="n"/>
      <c r="K208" s="13" t="n"/>
    </row>
    <row r="209" ht="15.75" customHeight="1" s="19">
      <c r="G209" s="13" t="n"/>
      <c r="K209" s="13" t="n"/>
    </row>
    <row r="210" ht="15.75" customHeight="1" s="19">
      <c r="G210" s="13" t="n"/>
      <c r="K210" s="13" t="n"/>
    </row>
    <row r="211" ht="15.75" customHeight="1" s="19">
      <c r="G211" s="13" t="n"/>
      <c r="K211" s="13" t="n"/>
    </row>
    <row r="212" ht="15.75" customHeight="1" s="19">
      <c r="G212" s="13" t="n"/>
      <c r="K212" s="13" t="n"/>
    </row>
    <row r="213" ht="15.75" customHeight="1" s="19">
      <c r="G213" s="13" t="n"/>
      <c r="K213" s="13" t="n"/>
    </row>
    <row r="214" ht="15.75" customHeight="1" s="19">
      <c r="G214" s="13" t="n"/>
      <c r="K214" s="13" t="n"/>
    </row>
    <row r="215" ht="15.75" customHeight="1" s="19">
      <c r="G215" s="13" t="n"/>
      <c r="K215" s="13" t="n"/>
    </row>
    <row r="216" ht="15.75" customHeight="1" s="19">
      <c r="G216" s="13" t="n"/>
      <c r="K216" s="13" t="n"/>
    </row>
    <row r="217" ht="15.75" customHeight="1" s="19">
      <c r="G217" s="13" t="n"/>
      <c r="K217" s="13" t="n"/>
    </row>
    <row r="218" ht="15.75" customHeight="1" s="19">
      <c r="G218" s="13" t="n"/>
      <c r="K218" s="13" t="n"/>
    </row>
    <row r="219" ht="15.75" customHeight="1" s="19">
      <c r="G219" s="13" t="n"/>
      <c r="K219" s="13" t="n"/>
    </row>
    <row r="220" ht="15.75" customHeight="1" s="19">
      <c r="G220" s="13" t="n"/>
      <c r="K220" s="13" t="n"/>
    </row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  <row r="1001" ht="15.75" customHeight="1" s="19"/>
  </sheetData>
  <autoFilter ref="$A$1:$M$1001"/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5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19" min="1" max="17"/>
    <col width="8.710000000000001" customWidth="1" style="19" min="18" max="26"/>
  </cols>
  <sheetData>
    <row r="1" ht="30" customHeight="1" s="19">
      <c r="A1" s="17" t="inlineStr">
        <is>
          <t>Opportunity ID</t>
        </is>
      </c>
      <c r="B1" s="17" t="inlineStr">
        <is>
          <t>Lead ID</t>
        </is>
      </c>
      <c r="C1" s="17" t="inlineStr">
        <is>
          <t>Business Name</t>
        </is>
      </c>
      <c r="D1" s="17" t="inlineStr">
        <is>
          <t>Opportunity Name</t>
        </is>
      </c>
      <c r="E1" s="17" t="inlineStr">
        <is>
          <t>Plan</t>
        </is>
      </c>
      <c r="F1" s="17" t="inlineStr">
        <is>
          <t>Pipeline Stage</t>
        </is>
      </c>
      <c r="G1" s="17" t="inlineStr">
        <is>
          <t>Probability</t>
        </is>
      </c>
      <c r="H1" s="17" t="inlineStr">
        <is>
          <t>Estimated Deal Value</t>
        </is>
      </c>
      <c r="I1" s="17" t="inlineStr">
        <is>
          <t>Estimated MRR</t>
        </is>
      </c>
      <c r="J1" s="17" t="inlineStr">
        <is>
          <t>Setup Fee</t>
        </is>
      </c>
      <c r="K1" s="17" t="inlineStr">
        <is>
          <t>Expected Close</t>
        </is>
      </c>
      <c r="L1" s="17" t="inlineStr">
        <is>
          <t>Proposal Date</t>
        </is>
      </c>
      <c r="M1" s="17" t="inlineStr">
        <is>
          <t>Close Date</t>
        </is>
      </c>
      <c r="N1" s="17" t="inlineStr">
        <is>
          <t>Won/Lost</t>
        </is>
      </c>
      <c r="O1" s="17" t="inlineStr">
        <is>
          <t>Lost Reason</t>
        </is>
      </c>
      <c r="P1" s="17" t="inlineStr">
        <is>
          <t>Primary Use Case</t>
        </is>
      </c>
      <c r="Q1" s="17" t="inlineStr">
        <is>
          <t>Notes</t>
        </is>
      </c>
    </row>
    <row r="2">
      <c r="G2" s="2">
        <f>IF(F2="","",SWITCH(F2,"Qualified",0.1,"Discovery",0.2,"Demo Booked",0.35,"Demo Completed",0.5,"Proposal",0.65,"Negotiation",0.8,"Closed Won",1,0))</f>
        <v/>
      </c>
      <c r="H2" s="16" t="n"/>
      <c r="I2" s="16" t="n"/>
      <c r="J2" s="16" t="n"/>
      <c r="K2" s="13" t="n"/>
      <c r="L2" s="13" t="n"/>
      <c r="M2" s="13" t="n"/>
    </row>
    <row r="3">
      <c r="G3" s="2">
        <f>IF(F3="","",SWITCH(F3,"Qualified",0.1,"Discovery",0.2,"Demo Booked",0.35,"Demo Completed",0.5,"Proposal",0.65,"Negotiation",0.8,"Closed Won",1,0))</f>
        <v/>
      </c>
      <c r="H3" s="16" t="n"/>
      <c r="I3" s="16" t="n"/>
      <c r="J3" s="16" t="n"/>
      <c r="K3" s="13" t="n"/>
      <c r="L3" s="13" t="n"/>
      <c r="M3" s="13" t="n"/>
    </row>
    <row r="4">
      <c r="G4" s="2">
        <f>IF(F4="","",SWITCH(F4,"Qualified",0.1,"Discovery",0.2,"Demo Booked",0.35,"Demo Completed",0.5,"Proposal",0.65,"Negotiation",0.8,"Closed Won",1,0))</f>
        <v/>
      </c>
      <c r="H4" s="16" t="n"/>
      <c r="I4" s="16" t="n"/>
      <c r="J4" s="16" t="n"/>
      <c r="K4" s="13" t="n"/>
      <c r="L4" s="13" t="n"/>
      <c r="M4" s="13" t="n"/>
    </row>
    <row r="5">
      <c r="G5" s="2">
        <f>IF(F5="","",SWITCH(F5,"Qualified",0.1,"Discovery",0.2,"Demo Booked",0.35,"Demo Completed",0.5,"Proposal",0.65,"Negotiation",0.8,"Closed Won",1,0))</f>
        <v/>
      </c>
      <c r="H5" s="16" t="n"/>
      <c r="I5" s="16" t="n"/>
      <c r="J5" s="16" t="n"/>
      <c r="K5" s="13" t="n"/>
      <c r="L5" s="13" t="n"/>
      <c r="M5" s="13" t="n"/>
    </row>
    <row r="6">
      <c r="G6" s="2">
        <f>IF(F6="","",SWITCH(F6,"Qualified",0.1,"Discovery",0.2,"Demo Booked",0.35,"Demo Completed",0.5,"Proposal",0.65,"Negotiation",0.8,"Closed Won",1,0))</f>
        <v/>
      </c>
      <c r="H6" s="16" t="n"/>
      <c r="I6" s="16" t="n"/>
      <c r="J6" s="16" t="n"/>
      <c r="K6" s="13" t="n"/>
      <c r="L6" s="13" t="n"/>
      <c r="M6" s="13" t="n"/>
    </row>
    <row r="7">
      <c r="G7" s="2">
        <f>IF(F7="","",SWITCH(F7,"Qualified",0.1,"Discovery",0.2,"Demo Booked",0.35,"Demo Completed",0.5,"Proposal",0.65,"Negotiation",0.8,"Closed Won",1,0))</f>
        <v/>
      </c>
      <c r="H7" s="16" t="n"/>
      <c r="I7" s="16" t="n"/>
      <c r="J7" s="16" t="n"/>
      <c r="K7" s="13" t="n"/>
      <c r="L7" s="13" t="n"/>
      <c r="M7" s="13" t="n"/>
    </row>
    <row r="8">
      <c r="G8" s="2">
        <f>IF(F8="","",SWITCH(F8,"Qualified",0.1,"Discovery",0.2,"Demo Booked",0.35,"Demo Completed",0.5,"Proposal",0.65,"Negotiation",0.8,"Closed Won",1,0))</f>
        <v/>
      </c>
      <c r="H8" s="16" t="n"/>
      <c r="I8" s="16" t="n"/>
      <c r="J8" s="16" t="n"/>
      <c r="K8" s="13" t="n"/>
      <c r="L8" s="13" t="n"/>
      <c r="M8" s="13" t="n"/>
    </row>
    <row r="9">
      <c r="G9" s="2">
        <f>IF(F9="","",SWITCH(F9,"Qualified",0.1,"Discovery",0.2,"Demo Booked",0.35,"Demo Completed",0.5,"Proposal",0.65,"Negotiation",0.8,"Closed Won",1,0))</f>
        <v/>
      </c>
      <c r="H9" s="16" t="n"/>
      <c r="I9" s="16" t="n"/>
      <c r="J9" s="16" t="n"/>
      <c r="K9" s="13" t="n"/>
      <c r="L9" s="13" t="n"/>
      <c r="M9" s="13" t="n"/>
    </row>
    <row r="10">
      <c r="G10" s="2">
        <f>IF(F10="","",SWITCH(F10,"Qualified",0.1,"Discovery",0.2,"Demo Booked",0.35,"Demo Completed",0.5,"Proposal",0.65,"Negotiation",0.8,"Closed Won",1,0))</f>
        <v/>
      </c>
      <c r="H10" s="16" t="n"/>
      <c r="I10" s="16" t="n"/>
      <c r="J10" s="16" t="n"/>
      <c r="K10" s="13" t="n"/>
      <c r="L10" s="13" t="n"/>
      <c r="M10" s="13" t="n"/>
    </row>
    <row r="11">
      <c r="G11" s="2">
        <f>IF(F11="","",SWITCH(F11,"Qualified",0.1,"Discovery",0.2,"Demo Booked",0.35,"Demo Completed",0.5,"Proposal",0.65,"Negotiation",0.8,"Closed Won",1,0))</f>
        <v/>
      </c>
      <c r="H11" s="16" t="n"/>
      <c r="I11" s="16" t="n"/>
      <c r="J11" s="16" t="n"/>
      <c r="K11" s="13" t="n"/>
      <c r="L11" s="13" t="n"/>
      <c r="M11" s="13" t="n"/>
    </row>
    <row r="12">
      <c r="G12" s="2">
        <f>IF(F12="","",SWITCH(F12,"Qualified",0.1,"Discovery",0.2,"Demo Booked",0.35,"Demo Completed",0.5,"Proposal",0.65,"Negotiation",0.8,"Closed Won",1,0))</f>
        <v/>
      </c>
      <c r="H12" s="16" t="n"/>
      <c r="I12" s="16" t="n"/>
      <c r="J12" s="16" t="n"/>
      <c r="K12" s="13" t="n"/>
      <c r="L12" s="13" t="n"/>
      <c r="M12" s="13" t="n"/>
    </row>
    <row r="13">
      <c r="G13" s="2">
        <f>IF(F13="","",SWITCH(F13,"Qualified",0.1,"Discovery",0.2,"Demo Booked",0.35,"Demo Completed",0.5,"Proposal",0.65,"Negotiation",0.8,"Closed Won",1,0))</f>
        <v/>
      </c>
      <c r="H13" s="16" t="n"/>
      <c r="I13" s="16" t="n"/>
      <c r="J13" s="16" t="n"/>
      <c r="K13" s="13" t="n"/>
      <c r="L13" s="13" t="n"/>
      <c r="M13" s="13" t="n"/>
    </row>
    <row r="14">
      <c r="G14" s="2">
        <f>IF(F14="","",SWITCH(F14,"Qualified",0.1,"Discovery",0.2,"Demo Booked",0.35,"Demo Completed",0.5,"Proposal",0.65,"Negotiation",0.8,"Closed Won",1,0))</f>
        <v/>
      </c>
      <c r="H14" s="16" t="n"/>
      <c r="I14" s="16" t="n"/>
      <c r="J14" s="16" t="n"/>
      <c r="K14" s="13" t="n"/>
      <c r="L14" s="13" t="n"/>
      <c r="M14" s="13" t="n"/>
    </row>
    <row r="15">
      <c r="G15" s="2">
        <f>IF(F15="","",SWITCH(F15,"Qualified",0.1,"Discovery",0.2,"Demo Booked",0.35,"Demo Completed",0.5,"Proposal",0.65,"Negotiation",0.8,"Closed Won",1,0))</f>
        <v/>
      </c>
      <c r="H15" s="16" t="n"/>
      <c r="I15" s="16" t="n"/>
      <c r="J15" s="16" t="n"/>
      <c r="K15" s="13" t="n"/>
      <c r="L15" s="13" t="n"/>
      <c r="M15" s="13" t="n"/>
    </row>
    <row r="16">
      <c r="G16" s="2">
        <f>IF(F16="","",SWITCH(F16,"Qualified",0.1,"Discovery",0.2,"Demo Booked",0.35,"Demo Completed",0.5,"Proposal",0.65,"Negotiation",0.8,"Closed Won",1,0))</f>
        <v/>
      </c>
      <c r="H16" s="16" t="n"/>
      <c r="I16" s="16" t="n"/>
      <c r="J16" s="16" t="n"/>
      <c r="K16" s="13" t="n"/>
      <c r="L16" s="13" t="n"/>
      <c r="M16" s="13" t="n"/>
    </row>
    <row r="17">
      <c r="G17" s="2">
        <f>IF(F17="","",SWITCH(F17,"Qualified",0.1,"Discovery",0.2,"Demo Booked",0.35,"Demo Completed",0.5,"Proposal",0.65,"Negotiation",0.8,"Closed Won",1,0))</f>
        <v/>
      </c>
      <c r="H17" s="16" t="n"/>
      <c r="I17" s="16" t="n"/>
      <c r="J17" s="16" t="n"/>
      <c r="K17" s="13" t="n"/>
      <c r="L17" s="13" t="n"/>
      <c r="M17" s="13" t="n"/>
    </row>
    <row r="18">
      <c r="G18" s="2">
        <f>IF(F18="","",SWITCH(F18,"Qualified",0.1,"Discovery",0.2,"Demo Booked",0.35,"Demo Completed",0.5,"Proposal",0.65,"Negotiation",0.8,"Closed Won",1,0))</f>
        <v/>
      </c>
      <c r="H18" s="16" t="n"/>
      <c r="I18" s="16" t="n"/>
      <c r="J18" s="16" t="n"/>
      <c r="K18" s="13" t="n"/>
      <c r="L18" s="13" t="n"/>
      <c r="M18" s="13" t="n"/>
    </row>
    <row r="19">
      <c r="G19" s="2">
        <f>IF(F19="","",SWITCH(F19,"Qualified",0.1,"Discovery",0.2,"Demo Booked",0.35,"Demo Completed",0.5,"Proposal",0.65,"Negotiation",0.8,"Closed Won",1,0))</f>
        <v/>
      </c>
      <c r="H19" s="16" t="n"/>
      <c r="I19" s="16" t="n"/>
      <c r="J19" s="16" t="n"/>
      <c r="K19" s="13" t="n"/>
      <c r="L19" s="13" t="n"/>
      <c r="M19" s="13" t="n"/>
    </row>
    <row r="20">
      <c r="G20" s="2">
        <f>IF(F20="","",SWITCH(F20,"Qualified",0.1,"Discovery",0.2,"Demo Booked",0.35,"Demo Completed",0.5,"Proposal",0.65,"Negotiation",0.8,"Closed Won",1,0))</f>
        <v/>
      </c>
      <c r="H20" s="16" t="n"/>
      <c r="I20" s="16" t="n"/>
      <c r="J20" s="16" t="n"/>
      <c r="K20" s="13" t="n"/>
      <c r="L20" s="13" t="n"/>
      <c r="M20" s="13" t="n"/>
    </row>
    <row r="21" ht="15.75" customHeight="1" s="19">
      <c r="G21" s="2">
        <f>IF(F21="","",SWITCH(F21,"Qualified",0.1,"Discovery",0.2,"Demo Booked",0.35,"Demo Completed",0.5,"Proposal",0.65,"Negotiation",0.8,"Closed Won",1,0))</f>
        <v/>
      </c>
      <c r="H21" s="16" t="n"/>
      <c r="I21" s="16" t="n"/>
      <c r="J21" s="16" t="n"/>
      <c r="K21" s="13" t="n"/>
      <c r="L21" s="13" t="n"/>
      <c r="M21" s="13" t="n"/>
    </row>
    <row r="22" ht="15.75" customHeight="1" s="19">
      <c r="G22" s="2">
        <f>IF(F22="","",SWITCH(F22,"Qualified",0.1,"Discovery",0.2,"Demo Booked",0.35,"Demo Completed",0.5,"Proposal",0.65,"Negotiation",0.8,"Closed Won",1,0))</f>
        <v/>
      </c>
      <c r="H22" s="16" t="n"/>
      <c r="I22" s="16" t="n"/>
      <c r="J22" s="16" t="n"/>
      <c r="K22" s="13" t="n"/>
      <c r="L22" s="13" t="n"/>
      <c r="M22" s="13" t="n"/>
    </row>
    <row r="23" ht="15.75" customHeight="1" s="19">
      <c r="G23" s="2">
        <f>IF(F23="","",SWITCH(F23,"Qualified",0.1,"Discovery",0.2,"Demo Booked",0.35,"Demo Completed",0.5,"Proposal",0.65,"Negotiation",0.8,"Closed Won",1,0))</f>
        <v/>
      </c>
      <c r="H23" s="16" t="n"/>
      <c r="I23" s="16" t="n"/>
      <c r="J23" s="16" t="n"/>
      <c r="K23" s="13" t="n"/>
      <c r="L23" s="13" t="n"/>
      <c r="M23" s="13" t="n"/>
    </row>
    <row r="24" ht="15.75" customHeight="1" s="19">
      <c r="G24" s="2">
        <f>IF(F24="","",SWITCH(F24,"Qualified",0.1,"Discovery",0.2,"Demo Booked",0.35,"Demo Completed",0.5,"Proposal",0.65,"Negotiation",0.8,"Closed Won",1,0))</f>
        <v/>
      </c>
      <c r="H24" s="16" t="n"/>
      <c r="I24" s="16" t="n"/>
      <c r="J24" s="16" t="n"/>
      <c r="K24" s="13" t="n"/>
      <c r="L24" s="13" t="n"/>
      <c r="M24" s="13" t="n"/>
    </row>
    <row r="25" ht="15.75" customHeight="1" s="19">
      <c r="G25" s="2">
        <f>IF(F25="","",SWITCH(F25,"Qualified",0.1,"Discovery",0.2,"Demo Booked",0.35,"Demo Completed",0.5,"Proposal",0.65,"Negotiation",0.8,"Closed Won",1,0))</f>
        <v/>
      </c>
      <c r="H25" s="16" t="n"/>
      <c r="I25" s="16" t="n"/>
      <c r="J25" s="16" t="n"/>
      <c r="K25" s="13" t="n"/>
      <c r="L25" s="13" t="n"/>
      <c r="M25" s="13" t="n"/>
    </row>
    <row r="26" ht="15.75" customHeight="1" s="19">
      <c r="G26" s="2">
        <f>IF(F26="","",SWITCH(F26,"Qualified",0.1,"Discovery",0.2,"Demo Booked",0.35,"Demo Completed",0.5,"Proposal",0.65,"Negotiation",0.8,"Closed Won",1,0))</f>
        <v/>
      </c>
      <c r="H26" s="16" t="n"/>
      <c r="I26" s="16" t="n"/>
      <c r="J26" s="16" t="n"/>
      <c r="K26" s="13" t="n"/>
      <c r="L26" s="13" t="n"/>
      <c r="M26" s="13" t="n"/>
    </row>
    <row r="27" ht="15.75" customHeight="1" s="19">
      <c r="G27" s="2">
        <f>IF(F27="","",SWITCH(F27,"Qualified",0.1,"Discovery",0.2,"Demo Booked",0.35,"Demo Completed",0.5,"Proposal",0.65,"Negotiation",0.8,"Closed Won",1,0))</f>
        <v/>
      </c>
      <c r="H27" s="16" t="n"/>
      <c r="I27" s="16" t="n"/>
      <c r="J27" s="16" t="n"/>
      <c r="K27" s="13" t="n"/>
      <c r="L27" s="13" t="n"/>
      <c r="M27" s="13" t="n"/>
    </row>
    <row r="28" ht="15.75" customHeight="1" s="19">
      <c r="G28" s="2">
        <f>IF(F28="","",SWITCH(F28,"Qualified",0.1,"Discovery",0.2,"Demo Booked",0.35,"Demo Completed",0.5,"Proposal",0.65,"Negotiation",0.8,"Closed Won",1,0))</f>
        <v/>
      </c>
      <c r="H28" s="16" t="n"/>
      <c r="I28" s="16" t="n"/>
      <c r="J28" s="16" t="n"/>
      <c r="K28" s="13" t="n"/>
      <c r="L28" s="13" t="n"/>
      <c r="M28" s="13" t="n"/>
    </row>
    <row r="29" ht="15.75" customHeight="1" s="19">
      <c r="G29" s="2">
        <f>IF(F29="","",SWITCH(F29,"Qualified",0.1,"Discovery",0.2,"Demo Booked",0.35,"Demo Completed",0.5,"Proposal",0.65,"Negotiation",0.8,"Closed Won",1,0))</f>
        <v/>
      </c>
      <c r="H29" s="16" t="n"/>
      <c r="I29" s="16" t="n"/>
      <c r="J29" s="16" t="n"/>
      <c r="K29" s="13" t="n"/>
      <c r="L29" s="13" t="n"/>
      <c r="M29" s="13" t="n"/>
    </row>
    <row r="30" ht="15.75" customHeight="1" s="19">
      <c r="G30" s="2">
        <f>IF(F30="","",SWITCH(F30,"Qualified",0.1,"Discovery",0.2,"Demo Booked",0.35,"Demo Completed",0.5,"Proposal",0.65,"Negotiation",0.8,"Closed Won",1,0))</f>
        <v/>
      </c>
      <c r="H30" s="16" t="n"/>
      <c r="I30" s="16" t="n"/>
      <c r="J30" s="16" t="n"/>
      <c r="K30" s="13" t="n"/>
      <c r="L30" s="13" t="n"/>
      <c r="M30" s="13" t="n"/>
    </row>
    <row r="31" ht="15.75" customHeight="1" s="19">
      <c r="G31" s="2">
        <f>IF(F31="","",SWITCH(F31,"Qualified",0.1,"Discovery",0.2,"Demo Booked",0.35,"Demo Completed",0.5,"Proposal",0.65,"Negotiation",0.8,"Closed Won",1,0))</f>
        <v/>
      </c>
      <c r="H31" s="16" t="n"/>
      <c r="I31" s="16" t="n"/>
      <c r="J31" s="16" t="n"/>
      <c r="K31" s="13" t="n"/>
      <c r="L31" s="13" t="n"/>
      <c r="M31" s="13" t="n"/>
    </row>
    <row r="32" ht="15.75" customHeight="1" s="19">
      <c r="G32" s="2">
        <f>IF(F32="","",SWITCH(F32,"Qualified",0.1,"Discovery",0.2,"Demo Booked",0.35,"Demo Completed",0.5,"Proposal",0.65,"Negotiation",0.8,"Closed Won",1,0))</f>
        <v/>
      </c>
      <c r="H32" s="16" t="n"/>
      <c r="I32" s="16" t="n"/>
      <c r="J32" s="16" t="n"/>
      <c r="K32" s="13" t="n"/>
      <c r="L32" s="13" t="n"/>
      <c r="M32" s="13" t="n"/>
    </row>
    <row r="33" ht="15.75" customHeight="1" s="19">
      <c r="G33" s="2">
        <f>IF(F33="","",SWITCH(F33,"Qualified",0.1,"Discovery",0.2,"Demo Booked",0.35,"Demo Completed",0.5,"Proposal",0.65,"Negotiation",0.8,"Closed Won",1,0))</f>
        <v/>
      </c>
      <c r="H33" s="16" t="n"/>
      <c r="I33" s="16" t="n"/>
      <c r="J33" s="16" t="n"/>
      <c r="K33" s="13" t="n"/>
      <c r="L33" s="13" t="n"/>
      <c r="M33" s="13" t="n"/>
    </row>
    <row r="34" ht="15.75" customHeight="1" s="19">
      <c r="G34" s="2">
        <f>IF(F34="","",SWITCH(F34,"Qualified",0.1,"Discovery",0.2,"Demo Booked",0.35,"Demo Completed",0.5,"Proposal",0.65,"Negotiation",0.8,"Closed Won",1,0))</f>
        <v/>
      </c>
      <c r="H34" s="16" t="n"/>
      <c r="I34" s="16" t="n"/>
      <c r="J34" s="16" t="n"/>
      <c r="K34" s="13" t="n"/>
      <c r="L34" s="13" t="n"/>
      <c r="M34" s="13" t="n"/>
    </row>
    <row r="35" ht="15.75" customHeight="1" s="19">
      <c r="G35" s="2">
        <f>IF(F35="","",SWITCH(F35,"Qualified",0.1,"Discovery",0.2,"Demo Booked",0.35,"Demo Completed",0.5,"Proposal",0.65,"Negotiation",0.8,"Closed Won",1,0))</f>
        <v/>
      </c>
      <c r="H35" s="16" t="n"/>
      <c r="I35" s="16" t="n"/>
      <c r="J35" s="16" t="n"/>
      <c r="K35" s="13" t="n"/>
      <c r="L35" s="13" t="n"/>
      <c r="M35" s="13" t="n"/>
    </row>
    <row r="36" ht="15.75" customHeight="1" s="19">
      <c r="G36" s="2">
        <f>IF(F36="","",SWITCH(F36,"Qualified",0.1,"Discovery",0.2,"Demo Booked",0.35,"Demo Completed",0.5,"Proposal",0.65,"Negotiation",0.8,"Closed Won",1,0))</f>
        <v/>
      </c>
      <c r="H36" s="16" t="n"/>
      <c r="I36" s="16" t="n"/>
      <c r="J36" s="16" t="n"/>
      <c r="K36" s="13" t="n"/>
      <c r="L36" s="13" t="n"/>
      <c r="M36" s="13" t="n"/>
    </row>
    <row r="37" ht="15.75" customHeight="1" s="19">
      <c r="G37" s="2">
        <f>IF(F37="","",SWITCH(F37,"Qualified",0.1,"Discovery",0.2,"Demo Booked",0.35,"Demo Completed",0.5,"Proposal",0.65,"Negotiation",0.8,"Closed Won",1,0))</f>
        <v/>
      </c>
      <c r="H37" s="16" t="n"/>
      <c r="I37" s="16" t="n"/>
      <c r="J37" s="16" t="n"/>
      <c r="K37" s="13" t="n"/>
      <c r="L37" s="13" t="n"/>
      <c r="M37" s="13" t="n"/>
    </row>
    <row r="38" ht="15.75" customHeight="1" s="19">
      <c r="G38" s="2">
        <f>IF(F38="","",SWITCH(F38,"Qualified",0.1,"Discovery",0.2,"Demo Booked",0.35,"Demo Completed",0.5,"Proposal",0.65,"Negotiation",0.8,"Closed Won",1,0))</f>
        <v/>
      </c>
      <c r="H38" s="16" t="n"/>
      <c r="I38" s="16" t="n"/>
      <c r="J38" s="16" t="n"/>
      <c r="K38" s="13" t="n"/>
      <c r="L38" s="13" t="n"/>
      <c r="M38" s="13" t="n"/>
    </row>
    <row r="39" ht="15.75" customHeight="1" s="19">
      <c r="G39" s="2">
        <f>IF(F39="","",SWITCH(F39,"Qualified",0.1,"Discovery",0.2,"Demo Booked",0.35,"Demo Completed",0.5,"Proposal",0.65,"Negotiation",0.8,"Closed Won",1,0))</f>
        <v/>
      </c>
      <c r="H39" s="16" t="n"/>
      <c r="I39" s="16" t="n"/>
      <c r="J39" s="16" t="n"/>
      <c r="K39" s="13" t="n"/>
      <c r="L39" s="13" t="n"/>
      <c r="M39" s="13" t="n"/>
    </row>
    <row r="40" ht="15.75" customHeight="1" s="19">
      <c r="G40" s="2">
        <f>IF(F40="","",SWITCH(F40,"Qualified",0.1,"Discovery",0.2,"Demo Booked",0.35,"Demo Completed",0.5,"Proposal",0.65,"Negotiation",0.8,"Closed Won",1,0))</f>
        <v/>
      </c>
      <c r="H40" s="16" t="n"/>
      <c r="I40" s="16" t="n"/>
      <c r="J40" s="16" t="n"/>
      <c r="K40" s="13" t="n"/>
      <c r="L40" s="13" t="n"/>
      <c r="M40" s="13" t="n"/>
    </row>
    <row r="41" ht="15.75" customHeight="1" s="19">
      <c r="G41" s="2">
        <f>IF(F41="","",SWITCH(F41,"Qualified",0.1,"Discovery",0.2,"Demo Booked",0.35,"Demo Completed",0.5,"Proposal",0.65,"Negotiation",0.8,"Closed Won",1,0))</f>
        <v/>
      </c>
      <c r="H41" s="16" t="n"/>
      <c r="I41" s="16" t="n"/>
      <c r="J41" s="16" t="n"/>
      <c r="K41" s="13" t="n"/>
      <c r="L41" s="13" t="n"/>
      <c r="M41" s="13" t="n"/>
    </row>
    <row r="42" ht="15.75" customHeight="1" s="19">
      <c r="G42" s="2">
        <f>IF(F42="","",SWITCH(F42,"Qualified",0.1,"Discovery",0.2,"Demo Booked",0.35,"Demo Completed",0.5,"Proposal",0.65,"Negotiation",0.8,"Closed Won",1,0))</f>
        <v/>
      </c>
      <c r="H42" s="16" t="n"/>
      <c r="I42" s="16" t="n"/>
      <c r="J42" s="16" t="n"/>
      <c r="K42" s="13" t="n"/>
      <c r="L42" s="13" t="n"/>
      <c r="M42" s="13" t="n"/>
    </row>
    <row r="43" ht="15.75" customHeight="1" s="19">
      <c r="G43" s="2">
        <f>IF(F43="","",SWITCH(F43,"Qualified",0.1,"Discovery",0.2,"Demo Booked",0.35,"Demo Completed",0.5,"Proposal",0.65,"Negotiation",0.8,"Closed Won",1,0))</f>
        <v/>
      </c>
      <c r="H43" s="16" t="n"/>
      <c r="I43" s="16" t="n"/>
      <c r="J43" s="16" t="n"/>
      <c r="K43" s="13" t="n"/>
      <c r="L43" s="13" t="n"/>
      <c r="M43" s="13" t="n"/>
    </row>
    <row r="44" ht="15.75" customHeight="1" s="19">
      <c r="G44" s="2">
        <f>IF(F44="","",SWITCH(F44,"Qualified",0.1,"Discovery",0.2,"Demo Booked",0.35,"Demo Completed",0.5,"Proposal",0.65,"Negotiation",0.8,"Closed Won",1,0))</f>
        <v/>
      </c>
      <c r="H44" s="16" t="n"/>
      <c r="I44" s="16" t="n"/>
      <c r="J44" s="16" t="n"/>
      <c r="K44" s="13" t="n"/>
      <c r="L44" s="13" t="n"/>
      <c r="M44" s="13" t="n"/>
    </row>
    <row r="45" ht="15.75" customHeight="1" s="19">
      <c r="G45" s="2">
        <f>IF(F45="","",SWITCH(F45,"Qualified",0.1,"Discovery",0.2,"Demo Booked",0.35,"Demo Completed",0.5,"Proposal",0.65,"Negotiation",0.8,"Closed Won",1,0))</f>
        <v/>
      </c>
      <c r="H45" s="16" t="n"/>
      <c r="I45" s="16" t="n"/>
      <c r="J45" s="16" t="n"/>
      <c r="K45" s="13" t="n"/>
      <c r="L45" s="13" t="n"/>
      <c r="M45" s="13" t="n"/>
    </row>
    <row r="46" ht="15.75" customHeight="1" s="19">
      <c r="G46" s="2">
        <f>IF(F46="","",SWITCH(F46,"Qualified",0.1,"Discovery",0.2,"Demo Booked",0.35,"Demo Completed",0.5,"Proposal",0.65,"Negotiation",0.8,"Closed Won",1,0))</f>
        <v/>
      </c>
      <c r="H46" s="16" t="n"/>
      <c r="I46" s="16" t="n"/>
      <c r="J46" s="16" t="n"/>
      <c r="K46" s="13" t="n"/>
      <c r="L46" s="13" t="n"/>
      <c r="M46" s="13" t="n"/>
    </row>
    <row r="47" ht="15.75" customHeight="1" s="19">
      <c r="G47" s="2">
        <f>IF(F47="","",SWITCH(F47,"Qualified",0.1,"Discovery",0.2,"Demo Booked",0.35,"Demo Completed",0.5,"Proposal",0.65,"Negotiation",0.8,"Closed Won",1,0))</f>
        <v/>
      </c>
      <c r="H47" s="16" t="n"/>
      <c r="I47" s="16" t="n"/>
      <c r="J47" s="16" t="n"/>
      <c r="K47" s="13" t="n"/>
      <c r="L47" s="13" t="n"/>
      <c r="M47" s="13" t="n"/>
    </row>
    <row r="48" ht="15.75" customHeight="1" s="19">
      <c r="G48" s="2">
        <f>IF(F48="","",SWITCH(F48,"Qualified",0.1,"Discovery",0.2,"Demo Booked",0.35,"Demo Completed",0.5,"Proposal",0.65,"Negotiation",0.8,"Closed Won",1,0))</f>
        <v/>
      </c>
      <c r="H48" s="16" t="n"/>
      <c r="I48" s="16" t="n"/>
      <c r="J48" s="16" t="n"/>
      <c r="K48" s="13" t="n"/>
      <c r="L48" s="13" t="n"/>
      <c r="M48" s="13" t="n"/>
    </row>
    <row r="49" ht="15.75" customHeight="1" s="19">
      <c r="G49" s="2">
        <f>IF(F49="","",SWITCH(F49,"Qualified",0.1,"Discovery",0.2,"Demo Booked",0.35,"Demo Completed",0.5,"Proposal",0.65,"Negotiation",0.8,"Closed Won",1,0))</f>
        <v/>
      </c>
      <c r="H49" s="16" t="n"/>
      <c r="I49" s="16" t="n"/>
      <c r="J49" s="16" t="n"/>
      <c r="K49" s="13" t="n"/>
      <c r="L49" s="13" t="n"/>
      <c r="M49" s="13" t="n"/>
    </row>
    <row r="50" ht="15.75" customHeight="1" s="19">
      <c r="G50" s="2">
        <f>IF(F50="","",SWITCH(F50,"Qualified",0.1,"Discovery",0.2,"Demo Booked",0.35,"Demo Completed",0.5,"Proposal",0.65,"Negotiation",0.8,"Closed Won",1,0))</f>
        <v/>
      </c>
      <c r="H50" s="16" t="n"/>
      <c r="I50" s="16" t="n"/>
      <c r="J50" s="16" t="n"/>
      <c r="K50" s="13" t="n"/>
      <c r="L50" s="13" t="n"/>
      <c r="M50" s="13" t="n"/>
    </row>
    <row r="51" ht="15.75" customHeight="1" s="19">
      <c r="G51" s="2">
        <f>IF(F51="","",SWITCH(F51,"Qualified",0.1,"Discovery",0.2,"Demo Booked",0.35,"Demo Completed",0.5,"Proposal",0.65,"Negotiation",0.8,"Closed Won",1,0))</f>
        <v/>
      </c>
      <c r="H51" s="16" t="n"/>
      <c r="I51" s="16" t="n"/>
      <c r="J51" s="16" t="n"/>
      <c r="K51" s="13" t="n"/>
      <c r="L51" s="13" t="n"/>
      <c r="M51" s="13" t="n"/>
    </row>
    <row r="52" ht="15.75" customHeight="1" s="19">
      <c r="G52" s="2">
        <f>IF(F52="","",SWITCH(F52,"Qualified",0.1,"Discovery",0.2,"Demo Booked",0.35,"Demo Completed",0.5,"Proposal",0.65,"Negotiation",0.8,"Closed Won",1,0))</f>
        <v/>
      </c>
      <c r="H52" s="16" t="n"/>
      <c r="I52" s="16" t="n"/>
      <c r="J52" s="16" t="n"/>
      <c r="K52" s="13" t="n"/>
      <c r="L52" s="13" t="n"/>
      <c r="M52" s="13" t="n"/>
    </row>
    <row r="53" ht="15.75" customHeight="1" s="19">
      <c r="G53" s="2">
        <f>IF(F53="","",SWITCH(F53,"Qualified",0.1,"Discovery",0.2,"Demo Booked",0.35,"Demo Completed",0.5,"Proposal",0.65,"Negotiation",0.8,"Closed Won",1,0))</f>
        <v/>
      </c>
      <c r="H53" s="16" t="n"/>
      <c r="I53" s="16" t="n"/>
      <c r="J53" s="16" t="n"/>
      <c r="K53" s="13" t="n"/>
      <c r="L53" s="13" t="n"/>
      <c r="M53" s="13" t="n"/>
    </row>
    <row r="54" ht="15.75" customHeight="1" s="19">
      <c r="G54" s="2">
        <f>IF(F54="","",SWITCH(F54,"Qualified",0.1,"Discovery",0.2,"Demo Booked",0.35,"Demo Completed",0.5,"Proposal",0.65,"Negotiation",0.8,"Closed Won",1,0))</f>
        <v/>
      </c>
      <c r="H54" s="16" t="n"/>
      <c r="I54" s="16" t="n"/>
      <c r="J54" s="16" t="n"/>
      <c r="K54" s="13" t="n"/>
      <c r="L54" s="13" t="n"/>
      <c r="M54" s="13" t="n"/>
    </row>
    <row r="55" ht="15.75" customHeight="1" s="19">
      <c r="G55" s="2">
        <f>IF(F55="","",SWITCH(F55,"Qualified",0.1,"Discovery",0.2,"Demo Booked",0.35,"Demo Completed",0.5,"Proposal",0.65,"Negotiation",0.8,"Closed Won",1,0))</f>
        <v/>
      </c>
      <c r="H55" s="16" t="n"/>
      <c r="I55" s="16" t="n"/>
      <c r="J55" s="16" t="n"/>
      <c r="K55" s="13" t="n"/>
      <c r="L55" s="13" t="n"/>
      <c r="M55" s="13" t="n"/>
    </row>
    <row r="56" ht="15.75" customHeight="1" s="19">
      <c r="G56" s="2">
        <f>IF(F56="","",SWITCH(F56,"Qualified",0.1,"Discovery",0.2,"Demo Booked",0.35,"Demo Completed",0.5,"Proposal",0.65,"Negotiation",0.8,"Closed Won",1,0))</f>
        <v/>
      </c>
      <c r="H56" s="16" t="n"/>
      <c r="I56" s="16" t="n"/>
      <c r="J56" s="16" t="n"/>
      <c r="K56" s="13" t="n"/>
      <c r="L56" s="13" t="n"/>
      <c r="M56" s="13" t="n"/>
    </row>
    <row r="57" ht="15.75" customHeight="1" s="19">
      <c r="G57" s="2">
        <f>IF(F57="","",SWITCH(F57,"Qualified",0.1,"Discovery",0.2,"Demo Booked",0.35,"Demo Completed",0.5,"Proposal",0.65,"Negotiation",0.8,"Closed Won",1,0))</f>
        <v/>
      </c>
      <c r="H57" s="16" t="n"/>
      <c r="I57" s="16" t="n"/>
      <c r="J57" s="16" t="n"/>
      <c r="K57" s="13" t="n"/>
      <c r="L57" s="13" t="n"/>
      <c r="M57" s="13" t="n"/>
    </row>
    <row r="58" ht="15.75" customHeight="1" s="19">
      <c r="G58" s="2">
        <f>IF(F58="","",SWITCH(F58,"Qualified",0.1,"Discovery",0.2,"Demo Booked",0.35,"Demo Completed",0.5,"Proposal",0.65,"Negotiation",0.8,"Closed Won",1,0))</f>
        <v/>
      </c>
      <c r="H58" s="16" t="n"/>
      <c r="I58" s="16" t="n"/>
      <c r="J58" s="16" t="n"/>
      <c r="K58" s="13" t="n"/>
      <c r="L58" s="13" t="n"/>
      <c r="M58" s="13" t="n"/>
    </row>
    <row r="59" ht="15.75" customHeight="1" s="19">
      <c r="G59" s="2">
        <f>IF(F59="","",SWITCH(F59,"Qualified",0.1,"Discovery",0.2,"Demo Booked",0.35,"Demo Completed",0.5,"Proposal",0.65,"Negotiation",0.8,"Closed Won",1,0))</f>
        <v/>
      </c>
      <c r="H59" s="16" t="n"/>
      <c r="I59" s="16" t="n"/>
      <c r="J59" s="16" t="n"/>
      <c r="K59" s="13" t="n"/>
      <c r="L59" s="13" t="n"/>
      <c r="M59" s="13" t="n"/>
    </row>
    <row r="60" ht="15.75" customHeight="1" s="19">
      <c r="G60" s="2">
        <f>IF(F60="","",SWITCH(F60,"Qualified",0.1,"Discovery",0.2,"Demo Booked",0.35,"Demo Completed",0.5,"Proposal",0.65,"Negotiation",0.8,"Closed Won",1,0))</f>
        <v/>
      </c>
      <c r="H60" s="16" t="n"/>
      <c r="I60" s="16" t="n"/>
      <c r="J60" s="16" t="n"/>
      <c r="K60" s="13" t="n"/>
      <c r="L60" s="13" t="n"/>
      <c r="M60" s="13" t="n"/>
    </row>
    <row r="61" ht="15.75" customHeight="1" s="19">
      <c r="G61" s="2">
        <f>IF(F61="","",SWITCH(F61,"Qualified",0.1,"Discovery",0.2,"Demo Booked",0.35,"Demo Completed",0.5,"Proposal",0.65,"Negotiation",0.8,"Closed Won",1,0))</f>
        <v/>
      </c>
      <c r="H61" s="16" t="n"/>
      <c r="I61" s="16" t="n"/>
      <c r="J61" s="16" t="n"/>
      <c r="K61" s="13" t="n"/>
      <c r="L61" s="13" t="n"/>
      <c r="M61" s="13" t="n"/>
    </row>
    <row r="62" ht="15.75" customHeight="1" s="19">
      <c r="G62" s="2">
        <f>IF(F62="","",SWITCH(F62,"Qualified",0.1,"Discovery",0.2,"Demo Booked",0.35,"Demo Completed",0.5,"Proposal",0.65,"Negotiation",0.8,"Closed Won",1,0))</f>
        <v/>
      </c>
      <c r="H62" s="16" t="n"/>
      <c r="I62" s="16" t="n"/>
      <c r="J62" s="16" t="n"/>
      <c r="K62" s="13" t="n"/>
      <c r="L62" s="13" t="n"/>
      <c r="M62" s="13" t="n"/>
    </row>
    <row r="63" ht="15.75" customHeight="1" s="19">
      <c r="G63" s="2">
        <f>IF(F63="","",SWITCH(F63,"Qualified",0.1,"Discovery",0.2,"Demo Booked",0.35,"Demo Completed",0.5,"Proposal",0.65,"Negotiation",0.8,"Closed Won",1,0))</f>
        <v/>
      </c>
      <c r="H63" s="16" t="n"/>
      <c r="I63" s="16" t="n"/>
      <c r="J63" s="16" t="n"/>
      <c r="K63" s="13" t="n"/>
      <c r="L63" s="13" t="n"/>
      <c r="M63" s="13" t="n"/>
    </row>
    <row r="64" ht="15.75" customHeight="1" s="19">
      <c r="G64" s="2">
        <f>IF(F64="","",SWITCH(F64,"Qualified",0.1,"Discovery",0.2,"Demo Booked",0.35,"Demo Completed",0.5,"Proposal",0.65,"Negotiation",0.8,"Closed Won",1,0))</f>
        <v/>
      </c>
      <c r="H64" s="16" t="n"/>
      <c r="I64" s="16" t="n"/>
      <c r="J64" s="16" t="n"/>
      <c r="K64" s="13" t="n"/>
      <c r="L64" s="13" t="n"/>
      <c r="M64" s="13" t="n"/>
    </row>
    <row r="65" ht="15.75" customHeight="1" s="19">
      <c r="G65" s="2">
        <f>IF(F65="","",SWITCH(F65,"Qualified",0.1,"Discovery",0.2,"Demo Booked",0.35,"Demo Completed",0.5,"Proposal",0.65,"Negotiation",0.8,"Closed Won",1,0))</f>
        <v/>
      </c>
      <c r="H65" s="16" t="n"/>
      <c r="I65" s="16" t="n"/>
      <c r="J65" s="16" t="n"/>
      <c r="K65" s="13" t="n"/>
      <c r="L65" s="13" t="n"/>
      <c r="M65" s="13" t="n"/>
    </row>
    <row r="66" ht="15.75" customHeight="1" s="19">
      <c r="G66" s="2">
        <f>IF(F66="","",SWITCH(F66,"Qualified",0.1,"Discovery",0.2,"Demo Booked",0.35,"Demo Completed",0.5,"Proposal",0.65,"Negotiation",0.8,"Closed Won",1,0))</f>
        <v/>
      </c>
      <c r="H66" s="16" t="n"/>
      <c r="I66" s="16" t="n"/>
      <c r="J66" s="16" t="n"/>
      <c r="K66" s="13" t="n"/>
      <c r="L66" s="13" t="n"/>
      <c r="M66" s="13" t="n"/>
    </row>
    <row r="67" ht="15.75" customHeight="1" s="19">
      <c r="G67" s="2">
        <f>IF(F67="","",SWITCH(F67,"Qualified",0.1,"Discovery",0.2,"Demo Booked",0.35,"Demo Completed",0.5,"Proposal",0.65,"Negotiation",0.8,"Closed Won",1,0))</f>
        <v/>
      </c>
      <c r="H67" s="16" t="n"/>
      <c r="I67" s="16" t="n"/>
      <c r="J67" s="16" t="n"/>
      <c r="K67" s="13" t="n"/>
      <c r="L67" s="13" t="n"/>
      <c r="M67" s="13" t="n"/>
    </row>
    <row r="68" ht="15.75" customHeight="1" s="19">
      <c r="G68" s="2">
        <f>IF(F68="","",SWITCH(F68,"Qualified",0.1,"Discovery",0.2,"Demo Booked",0.35,"Demo Completed",0.5,"Proposal",0.65,"Negotiation",0.8,"Closed Won",1,0))</f>
        <v/>
      </c>
      <c r="H68" s="16" t="n"/>
      <c r="I68" s="16" t="n"/>
      <c r="J68" s="16" t="n"/>
      <c r="K68" s="13" t="n"/>
      <c r="L68" s="13" t="n"/>
      <c r="M68" s="13" t="n"/>
    </row>
    <row r="69" ht="15.75" customHeight="1" s="19">
      <c r="G69" s="2">
        <f>IF(F69="","",SWITCH(F69,"Qualified",0.1,"Discovery",0.2,"Demo Booked",0.35,"Demo Completed",0.5,"Proposal",0.65,"Negotiation",0.8,"Closed Won",1,0))</f>
        <v/>
      </c>
      <c r="H69" s="16" t="n"/>
      <c r="I69" s="16" t="n"/>
      <c r="J69" s="16" t="n"/>
      <c r="K69" s="13" t="n"/>
      <c r="L69" s="13" t="n"/>
      <c r="M69" s="13" t="n"/>
    </row>
    <row r="70" ht="15.75" customHeight="1" s="19">
      <c r="G70" s="2">
        <f>IF(F70="","",SWITCH(F70,"Qualified",0.1,"Discovery",0.2,"Demo Booked",0.35,"Demo Completed",0.5,"Proposal",0.65,"Negotiation",0.8,"Closed Won",1,0))</f>
        <v/>
      </c>
      <c r="H70" s="16" t="n"/>
      <c r="I70" s="16" t="n"/>
      <c r="J70" s="16" t="n"/>
      <c r="K70" s="13" t="n"/>
      <c r="L70" s="13" t="n"/>
      <c r="M70" s="13" t="n"/>
    </row>
    <row r="71" ht="15.75" customHeight="1" s="19">
      <c r="G71" s="2">
        <f>IF(F71="","",SWITCH(F71,"Qualified",0.1,"Discovery",0.2,"Demo Booked",0.35,"Demo Completed",0.5,"Proposal",0.65,"Negotiation",0.8,"Closed Won",1,0))</f>
        <v/>
      </c>
      <c r="H71" s="16" t="n"/>
      <c r="I71" s="16" t="n"/>
      <c r="J71" s="16" t="n"/>
      <c r="K71" s="13" t="n"/>
      <c r="L71" s="13" t="n"/>
      <c r="M71" s="13" t="n"/>
    </row>
    <row r="72" ht="15.75" customHeight="1" s="19">
      <c r="G72" s="2">
        <f>IF(F72="","",SWITCH(F72,"Qualified",0.1,"Discovery",0.2,"Demo Booked",0.35,"Demo Completed",0.5,"Proposal",0.65,"Negotiation",0.8,"Closed Won",1,0))</f>
        <v/>
      </c>
      <c r="H72" s="16" t="n"/>
      <c r="I72" s="16" t="n"/>
      <c r="J72" s="16" t="n"/>
      <c r="K72" s="13" t="n"/>
      <c r="L72" s="13" t="n"/>
      <c r="M72" s="13" t="n"/>
    </row>
    <row r="73" ht="15.75" customHeight="1" s="19">
      <c r="G73" s="2">
        <f>IF(F73="","",SWITCH(F73,"Qualified",0.1,"Discovery",0.2,"Demo Booked",0.35,"Demo Completed",0.5,"Proposal",0.65,"Negotiation",0.8,"Closed Won",1,0))</f>
        <v/>
      </c>
      <c r="H73" s="16" t="n"/>
      <c r="I73" s="16" t="n"/>
      <c r="J73" s="16" t="n"/>
      <c r="K73" s="13" t="n"/>
      <c r="L73" s="13" t="n"/>
      <c r="M73" s="13" t="n"/>
    </row>
    <row r="74" ht="15.75" customHeight="1" s="19">
      <c r="G74" s="2">
        <f>IF(F74="","",SWITCH(F74,"Qualified",0.1,"Discovery",0.2,"Demo Booked",0.35,"Demo Completed",0.5,"Proposal",0.65,"Negotiation",0.8,"Closed Won",1,0))</f>
        <v/>
      </c>
      <c r="H74" s="16" t="n"/>
      <c r="I74" s="16" t="n"/>
      <c r="J74" s="16" t="n"/>
      <c r="K74" s="13" t="n"/>
      <c r="L74" s="13" t="n"/>
      <c r="M74" s="13" t="n"/>
    </row>
    <row r="75" ht="15.75" customHeight="1" s="19">
      <c r="G75" s="2">
        <f>IF(F75="","",SWITCH(F75,"Qualified",0.1,"Discovery",0.2,"Demo Booked",0.35,"Demo Completed",0.5,"Proposal",0.65,"Negotiation",0.8,"Closed Won",1,0))</f>
        <v/>
      </c>
      <c r="H75" s="16" t="n"/>
      <c r="I75" s="16" t="n"/>
      <c r="J75" s="16" t="n"/>
      <c r="K75" s="13" t="n"/>
      <c r="L75" s="13" t="n"/>
      <c r="M75" s="13" t="n"/>
    </row>
    <row r="76" ht="15.75" customHeight="1" s="19">
      <c r="G76" s="2">
        <f>IF(F76="","",SWITCH(F76,"Qualified",0.1,"Discovery",0.2,"Demo Booked",0.35,"Demo Completed",0.5,"Proposal",0.65,"Negotiation",0.8,"Closed Won",1,0))</f>
        <v/>
      </c>
      <c r="H76" s="16" t="n"/>
      <c r="I76" s="16" t="n"/>
      <c r="J76" s="16" t="n"/>
      <c r="K76" s="13" t="n"/>
      <c r="L76" s="13" t="n"/>
      <c r="M76" s="13" t="n"/>
    </row>
    <row r="77" ht="15.75" customHeight="1" s="19">
      <c r="G77" s="2">
        <f>IF(F77="","",SWITCH(F77,"Qualified",0.1,"Discovery",0.2,"Demo Booked",0.35,"Demo Completed",0.5,"Proposal",0.65,"Negotiation",0.8,"Closed Won",1,0))</f>
        <v/>
      </c>
      <c r="H77" s="16" t="n"/>
      <c r="I77" s="16" t="n"/>
      <c r="J77" s="16" t="n"/>
      <c r="K77" s="13" t="n"/>
      <c r="L77" s="13" t="n"/>
      <c r="M77" s="13" t="n"/>
    </row>
    <row r="78" ht="15.75" customHeight="1" s="19">
      <c r="G78" s="2">
        <f>IF(F78="","",SWITCH(F78,"Qualified",0.1,"Discovery",0.2,"Demo Booked",0.35,"Demo Completed",0.5,"Proposal",0.65,"Negotiation",0.8,"Closed Won",1,0))</f>
        <v/>
      </c>
      <c r="H78" s="16" t="n"/>
      <c r="I78" s="16" t="n"/>
      <c r="J78" s="16" t="n"/>
      <c r="K78" s="13" t="n"/>
      <c r="L78" s="13" t="n"/>
      <c r="M78" s="13" t="n"/>
    </row>
    <row r="79" ht="15.75" customHeight="1" s="19">
      <c r="G79" s="2">
        <f>IF(F79="","",SWITCH(F79,"Qualified",0.1,"Discovery",0.2,"Demo Booked",0.35,"Demo Completed",0.5,"Proposal",0.65,"Negotiation",0.8,"Closed Won",1,0))</f>
        <v/>
      </c>
      <c r="H79" s="16" t="n"/>
      <c r="I79" s="16" t="n"/>
      <c r="J79" s="16" t="n"/>
      <c r="K79" s="13" t="n"/>
      <c r="L79" s="13" t="n"/>
      <c r="M79" s="13" t="n"/>
    </row>
    <row r="80" ht="15.75" customHeight="1" s="19">
      <c r="G80" s="2">
        <f>IF(F80="","",SWITCH(F80,"Qualified",0.1,"Discovery",0.2,"Demo Booked",0.35,"Demo Completed",0.5,"Proposal",0.65,"Negotiation",0.8,"Closed Won",1,0))</f>
        <v/>
      </c>
      <c r="H80" s="16" t="n"/>
      <c r="I80" s="16" t="n"/>
      <c r="J80" s="16" t="n"/>
      <c r="K80" s="13" t="n"/>
      <c r="L80" s="13" t="n"/>
      <c r="M80" s="13" t="n"/>
    </row>
    <row r="81" ht="15.75" customHeight="1" s="19">
      <c r="G81" s="2">
        <f>IF(F81="","",SWITCH(F81,"Qualified",0.1,"Discovery",0.2,"Demo Booked",0.35,"Demo Completed",0.5,"Proposal",0.65,"Negotiation",0.8,"Closed Won",1,0))</f>
        <v/>
      </c>
      <c r="H81" s="16" t="n"/>
      <c r="I81" s="16" t="n"/>
      <c r="J81" s="16" t="n"/>
      <c r="K81" s="13" t="n"/>
      <c r="L81" s="13" t="n"/>
      <c r="M81" s="13" t="n"/>
    </row>
    <row r="82" ht="15.75" customHeight="1" s="19">
      <c r="G82" s="2">
        <f>IF(F82="","",SWITCH(F82,"Qualified",0.1,"Discovery",0.2,"Demo Booked",0.35,"Demo Completed",0.5,"Proposal",0.65,"Negotiation",0.8,"Closed Won",1,0))</f>
        <v/>
      </c>
      <c r="H82" s="16" t="n"/>
      <c r="I82" s="16" t="n"/>
      <c r="J82" s="16" t="n"/>
      <c r="K82" s="13" t="n"/>
      <c r="L82" s="13" t="n"/>
      <c r="M82" s="13" t="n"/>
    </row>
    <row r="83" ht="15.75" customHeight="1" s="19">
      <c r="G83" s="2">
        <f>IF(F83="","",SWITCH(F83,"Qualified",0.1,"Discovery",0.2,"Demo Booked",0.35,"Demo Completed",0.5,"Proposal",0.65,"Negotiation",0.8,"Closed Won",1,0))</f>
        <v/>
      </c>
      <c r="H83" s="16" t="n"/>
      <c r="I83" s="16" t="n"/>
      <c r="J83" s="16" t="n"/>
      <c r="K83" s="13" t="n"/>
      <c r="L83" s="13" t="n"/>
      <c r="M83" s="13" t="n"/>
    </row>
    <row r="84" ht="15.75" customHeight="1" s="19">
      <c r="G84" s="2">
        <f>IF(F84="","",SWITCH(F84,"Qualified",0.1,"Discovery",0.2,"Demo Booked",0.35,"Demo Completed",0.5,"Proposal",0.65,"Negotiation",0.8,"Closed Won",1,0))</f>
        <v/>
      </c>
      <c r="H84" s="16" t="n"/>
      <c r="I84" s="16" t="n"/>
      <c r="J84" s="16" t="n"/>
      <c r="K84" s="13" t="n"/>
      <c r="L84" s="13" t="n"/>
      <c r="M84" s="13" t="n"/>
    </row>
    <row r="85" ht="15.75" customHeight="1" s="19">
      <c r="G85" s="2">
        <f>IF(F85="","",SWITCH(F85,"Qualified",0.1,"Discovery",0.2,"Demo Booked",0.35,"Demo Completed",0.5,"Proposal",0.65,"Negotiation",0.8,"Closed Won",1,0))</f>
        <v/>
      </c>
      <c r="H85" s="16" t="n"/>
      <c r="I85" s="16" t="n"/>
      <c r="J85" s="16" t="n"/>
      <c r="K85" s="13" t="n"/>
      <c r="L85" s="13" t="n"/>
      <c r="M85" s="13" t="n"/>
    </row>
    <row r="86" ht="15.75" customHeight="1" s="19">
      <c r="G86" s="2">
        <f>IF(F86="","",SWITCH(F86,"Qualified",0.1,"Discovery",0.2,"Demo Booked",0.35,"Demo Completed",0.5,"Proposal",0.65,"Negotiation",0.8,"Closed Won",1,0))</f>
        <v/>
      </c>
      <c r="H86" s="16" t="n"/>
      <c r="I86" s="16" t="n"/>
      <c r="J86" s="16" t="n"/>
      <c r="K86" s="13" t="n"/>
      <c r="L86" s="13" t="n"/>
      <c r="M86" s="13" t="n"/>
    </row>
    <row r="87" ht="15.75" customHeight="1" s="19">
      <c r="G87" s="2">
        <f>IF(F87="","",SWITCH(F87,"Qualified",0.1,"Discovery",0.2,"Demo Booked",0.35,"Demo Completed",0.5,"Proposal",0.65,"Negotiation",0.8,"Closed Won",1,0))</f>
        <v/>
      </c>
      <c r="H87" s="16" t="n"/>
      <c r="I87" s="16" t="n"/>
      <c r="J87" s="16" t="n"/>
      <c r="K87" s="13" t="n"/>
      <c r="L87" s="13" t="n"/>
      <c r="M87" s="13" t="n"/>
    </row>
    <row r="88" ht="15.75" customHeight="1" s="19">
      <c r="G88" s="2">
        <f>IF(F88="","",SWITCH(F88,"Qualified",0.1,"Discovery",0.2,"Demo Booked",0.35,"Demo Completed",0.5,"Proposal",0.65,"Negotiation",0.8,"Closed Won",1,0))</f>
        <v/>
      </c>
      <c r="H88" s="16" t="n"/>
      <c r="I88" s="16" t="n"/>
      <c r="J88" s="16" t="n"/>
      <c r="K88" s="13" t="n"/>
      <c r="L88" s="13" t="n"/>
      <c r="M88" s="13" t="n"/>
    </row>
    <row r="89" ht="15.75" customHeight="1" s="19">
      <c r="G89" s="2">
        <f>IF(F89="","",SWITCH(F89,"Qualified",0.1,"Discovery",0.2,"Demo Booked",0.35,"Demo Completed",0.5,"Proposal",0.65,"Negotiation",0.8,"Closed Won",1,0))</f>
        <v/>
      </c>
      <c r="H89" s="16" t="n"/>
      <c r="I89" s="16" t="n"/>
      <c r="J89" s="16" t="n"/>
      <c r="K89" s="13" t="n"/>
      <c r="L89" s="13" t="n"/>
      <c r="M89" s="13" t="n"/>
    </row>
    <row r="90" ht="15.75" customHeight="1" s="19">
      <c r="G90" s="2">
        <f>IF(F90="","",SWITCH(F90,"Qualified",0.1,"Discovery",0.2,"Demo Booked",0.35,"Demo Completed",0.5,"Proposal",0.65,"Negotiation",0.8,"Closed Won",1,0))</f>
        <v/>
      </c>
      <c r="H90" s="16" t="n"/>
      <c r="I90" s="16" t="n"/>
      <c r="J90" s="16" t="n"/>
      <c r="K90" s="13" t="n"/>
      <c r="L90" s="13" t="n"/>
      <c r="M90" s="13" t="n"/>
    </row>
    <row r="91" ht="15.75" customHeight="1" s="19">
      <c r="G91" s="2">
        <f>IF(F91="","",SWITCH(F91,"Qualified",0.1,"Discovery",0.2,"Demo Booked",0.35,"Demo Completed",0.5,"Proposal",0.65,"Negotiation",0.8,"Closed Won",1,0))</f>
        <v/>
      </c>
      <c r="H91" s="16" t="n"/>
      <c r="I91" s="16" t="n"/>
      <c r="J91" s="16" t="n"/>
      <c r="K91" s="13" t="n"/>
      <c r="L91" s="13" t="n"/>
      <c r="M91" s="13" t="n"/>
    </row>
    <row r="92" ht="15.75" customHeight="1" s="19">
      <c r="G92" s="2">
        <f>IF(F92="","",SWITCH(F92,"Qualified",0.1,"Discovery",0.2,"Demo Booked",0.35,"Demo Completed",0.5,"Proposal",0.65,"Negotiation",0.8,"Closed Won",1,0))</f>
        <v/>
      </c>
      <c r="H92" s="16" t="n"/>
      <c r="I92" s="16" t="n"/>
      <c r="J92" s="16" t="n"/>
      <c r="K92" s="13" t="n"/>
      <c r="L92" s="13" t="n"/>
      <c r="M92" s="13" t="n"/>
    </row>
    <row r="93" ht="15.75" customHeight="1" s="19">
      <c r="G93" s="2">
        <f>IF(F93="","",SWITCH(F93,"Qualified",0.1,"Discovery",0.2,"Demo Booked",0.35,"Demo Completed",0.5,"Proposal",0.65,"Negotiation",0.8,"Closed Won",1,0))</f>
        <v/>
      </c>
      <c r="H93" s="16" t="n"/>
      <c r="I93" s="16" t="n"/>
      <c r="J93" s="16" t="n"/>
      <c r="K93" s="13" t="n"/>
      <c r="L93" s="13" t="n"/>
      <c r="M93" s="13" t="n"/>
    </row>
    <row r="94" ht="15.75" customHeight="1" s="19">
      <c r="G94" s="2">
        <f>IF(F94="","",SWITCH(F94,"Qualified",0.1,"Discovery",0.2,"Demo Booked",0.35,"Demo Completed",0.5,"Proposal",0.65,"Negotiation",0.8,"Closed Won",1,0))</f>
        <v/>
      </c>
      <c r="H94" s="16" t="n"/>
      <c r="I94" s="16" t="n"/>
      <c r="J94" s="16" t="n"/>
      <c r="K94" s="13" t="n"/>
      <c r="L94" s="13" t="n"/>
      <c r="M94" s="13" t="n"/>
    </row>
    <row r="95" ht="15.75" customHeight="1" s="19">
      <c r="G95" s="2">
        <f>IF(F95="","",SWITCH(F95,"Qualified",0.1,"Discovery",0.2,"Demo Booked",0.35,"Demo Completed",0.5,"Proposal",0.65,"Negotiation",0.8,"Closed Won",1,0))</f>
        <v/>
      </c>
      <c r="H95" s="16" t="n"/>
      <c r="I95" s="16" t="n"/>
      <c r="J95" s="16" t="n"/>
      <c r="K95" s="13" t="n"/>
      <c r="L95" s="13" t="n"/>
      <c r="M95" s="13" t="n"/>
    </row>
    <row r="96" ht="15.75" customHeight="1" s="19">
      <c r="G96" s="2">
        <f>IF(F96="","",SWITCH(F96,"Qualified",0.1,"Discovery",0.2,"Demo Booked",0.35,"Demo Completed",0.5,"Proposal",0.65,"Negotiation",0.8,"Closed Won",1,0))</f>
        <v/>
      </c>
      <c r="H96" s="16" t="n"/>
      <c r="I96" s="16" t="n"/>
      <c r="J96" s="16" t="n"/>
      <c r="K96" s="13" t="n"/>
      <c r="L96" s="13" t="n"/>
      <c r="M96" s="13" t="n"/>
    </row>
    <row r="97" ht="15.75" customHeight="1" s="19">
      <c r="G97" s="2">
        <f>IF(F97="","",SWITCH(F97,"Qualified",0.1,"Discovery",0.2,"Demo Booked",0.35,"Demo Completed",0.5,"Proposal",0.65,"Negotiation",0.8,"Closed Won",1,0))</f>
        <v/>
      </c>
      <c r="H97" s="16" t="n"/>
      <c r="I97" s="16" t="n"/>
      <c r="J97" s="16" t="n"/>
      <c r="K97" s="13" t="n"/>
      <c r="L97" s="13" t="n"/>
      <c r="M97" s="13" t="n"/>
    </row>
    <row r="98" ht="15.75" customHeight="1" s="19">
      <c r="G98" s="2">
        <f>IF(F98="","",SWITCH(F98,"Qualified",0.1,"Discovery",0.2,"Demo Booked",0.35,"Demo Completed",0.5,"Proposal",0.65,"Negotiation",0.8,"Closed Won",1,0))</f>
        <v/>
      </c>
      <c r="H98" s="16" t="n"/>
      <c r="I98" s="16" t="n"/>
      <c r="J98" s="16" t="n"/>
      <c r="K98" s="13" t="n"/>
      <c r="L98" s="13" t="n"/>
      <c r="M98" s="13" t="n"/>
    </row>
    <row r="99" ht="15.75" customHeight="1" s="19">
      <c r="G99" s="2">
        <f>IF(F99="","",SWITCH(F99,"Qualified",0.1,"Discovery",0.2,"Demo Booked",0.35,"Demo Completed",0.5,"Proposal",0.65,"Negotiation",0.8,"Closed Won",1,0))</f>
        <v/>
      </c>
      <c r="H99" s="16" t="n"/>
      <c r="I99" s="16" t="n"/>
      <c r="J99" s="16" t="n"/>
      <c r="K99" s="13" t="n"/>
      <c r="L99" s="13" t="n"/>
      <c r="M99" s="13" t="n"/>
    </row>
    <row r="100" ht="15.75" customHeight="1" s="19">
      <c r="G100" s="2">
        <f>IF(F100="","",SWITCH(F100,"Qualified",0.1,"Discovery",0.2,"Demo Booked",0.35,"Demo Completed",0.5,"Proposal",0.65,"Negotiation",0.8,"Closed Won",1,0))</f>
        <v/>
      </c>
      <c r="H100" s="16" t="n"/>
      <c r="I100" s="16" t="n"/>
      <c r="J100" s="16" t="n"/>
      <c r="K100" s="13" t="n"/>
      <c r="L100" s="13" t="n"/>
      <c r="M100" s="13" t="n"/>
    </row>
    <row r="101" ht="15.75" customHeight="1" s="19">
      <c r="G101" s="2">
        <f>IF(F101="","",SWITCH(F101,"Qualified",0.1,"Discovery",0.2,"Demo Booked",0.35,"Demo Completed",0.5,"Proposal",0.65,"Negotiation",0.8,"Closed Won",1,0))</f>
        <v/>
      </c>
      <c r="H101" s="16" t="n"/>
      <c r="I101" s="16" t="n"/>
      <c r="J101" s="16" t="n"/>
      <c r="K101" s="13" t="n"/>
      <c r="L101" s="13" t="n"/>
      <c r="M101" s="13" t="n"/>
    </row>
    <row r="102" ht="15.75" customHeight="1" s="19">
      <c r="G102" s="2">
        <f>IF(F102="","",SWITCH(F102,"Qualified",0.1,"Discovery",0.2,"Demo Booked",0.35,"Demo Completed",0.5,"Proposal",0.65,"Negotiation",0.8,"Closed Won",1,0))</f>
        <v/>
      </c>
      <c r="H102" s="16" t="n"/>
      <c r="I102" s="16" t="n"/>
      <c r="J102" s="16" t="n"/>
      <c r="K102" s="13" t="n"/>
      <c r="L102" s="13" t="n"/>
      <c r="M102" s="13" t="n"/>
    </row>
    <row r="103" ht="15.75" customHeight="1" s="19">
      <c r="G103" s="2">
        <f>IF(F103="","",SWITCH(F103,"Qualified",0.1,"Discovery",0.2,"Demo Booked",0.35,"Demo Completed",0.5,"Proposal",0.65,"Negotiation",0.8,"Closed Won",1,0))</f>
        <v/>
      </c>
      <c r="H103" s="16" t="n"/>
      <c r="I103" s="16" t="n"/>
      <c r="J103" s="16" t="n"/>
      <c r="K103" s="13" t="n"/>
      <c r="L103" s="13" t="n"/>
      <c r="M103" s="13" t="n"/>
    </row>
    <row r="104" ht="15.75" customHeight="1" s="19">
      <c r="G104" s="2">
        <f>IF(F104="","",SWITCH(F104,"Qualified",0.1,"Discovery",0.2,"Demo Booked",0.35,"Demo Completed",0.5,"Proposal",0.65,"Negotiation",0.8,"Closed Won",1,0))</f>
        <v/>
      </c>
      <c r="H104" s="16" t="n"/>
      <c r="I104" s="16" t="n"/>
      <c r="J104" s="16" t="n"/>
      <c r="K104" s="13" t="n"/>
      <c r="L104" s="13" t="n"/>
      <c r="M104" s="13" t="n"/>
    </row>
    <row r="105" ht="15.75" customHeight="1" s="19">
      <c r="G105" s="2">
        <f>IF(F105="","",SWITCH(F105,"Qualified",0.1,"Discovery",0.2,"Demo Booked",0.35,"Demo Completed",0.5,"Proposal",0.65,"Negotiation",0.8,"Closed Won",1,0))</f>
        <v/>
      </c>
      <c r="H105" s="16" t="n"/>
      <c r="I105" s="16" t="n"/>
      <c r="J105" s="16" t="n"/>
      <c r="K105" s="13" t="n"/>
      <c r="L105" s="13" t="n"/>
      <c r="M105" s="13" t="n"/>
    </row>
    <row r="106" ht="15.75" customHeight="1" s="19">
      <c r="G106" s="2">
        <f>IF(F106="","",SWITCH(F106,"Qualified",0.1,"Discovery",0.2,"Demo Booked",0.35,"Demo Completed",0.5,"Proposal",0.65,"Negotiation",0.8,"Closed Won",1,0))</f>
        <v/>
      </c>
      <c r="H106" s="16" t="n"/>
      <c r="I106" s="16" t="n"/>
      <c r="J106" s="16" t="n"/>
      <c r="K106" s="13" t="n"/>
      <c r="L106" s="13" t="n"/>
      <c r="M106" s="13" t="n"/>
    </row>
    <row r="107" ht="15.75" customHeight="1" s="19">
      <c r="G107" s="2">
        <f>IF(F107="","",SWITCH(F107,"Qualified",0.1,"Discovery",0.2,"Demo Booked",0.35,"Demo Completed",0.5,"Proposal",0.65,"Negotiation",0.8,"Closed Won",1,0))</f>
        <v/>
      </c>
      <c r="H107" s="16" t="n"/>
      <c r="I107" s="16" t="n"/>
      <c r="J107" s="16" t="n"/>
      <c r="K107" s="13" t="n"/>
      <c r="L107" s="13" t="n"/>
      <c r="M107" s="13" t="n"/>
    </row>
    <row r="108" ht="15.75" customHeight="1" s="19">
      <c r="G108" s="2">
        <f>IF(F108="","",SWITCH(F108,"Qualified",0.1,"Discovery",0.2,"Demo Booked",0.35,"Demo Completed",0.5,"Proposal",0.65,"Negotiation",0.8,"Closed Won",1,0))</f>
        <v/>
      </c>
      <c r="H108" s="16" t="n"/>
      <c r="I108" s="16" t="n"/>
      <c r="J108" s="16" t="n"/>
      <c r="K108" s="13" t="n"/>
      <c r="L108" s="13" t="n"/>
      <c r="M108" s="13" t="n"/>
    </row>
    <row r="109" ht="15.75" customHeight="1" s="19">
      <c r="G109" s="2">
        <f>IF(F109="","",SWITCH(F109,"Qualified",0.1,"Discovery",0.2,"Demo Booked",0.35,"Demo Completed",0.5,"Proposal",0.65,"Negotiation",0.8,"Closed Won",1,0))</f>
        <v/>
      </c>
      <c r="H109" s="16" t="n"/>
      <c r="I109" s="16" t="n"/>
      <c r="J109" s="16" t="n"/>
      <c r="K109" s="13" t="n"/>
      <c r="L109" s="13" t="n"/>
      <c r="M109" s="13" t="n"/>
    </row>
    <row r="110" ht="15.75" customHeight="1" s="19">
      <c r="G110" s="2">
        <f>IF(F110="","",SWITCH(F110,"Qualified",0.1,"Discovery",0.2,"Demo Booked",0.35,"Demo Completed",0.5,"Proposal",0.65,"Negotiation",0.8,"Closed Won",1,0))</f>
        <v/>
      </c>
      <c r="H110" s="16" t="n"/>
      <c r="I110" s="16" t="n"/>
      <c r="J110" s="16" t="n"/>
      <c r="K110" s="13" t="n"/>
      <c r="L110" s="13" t="n"/>
      <c r="M110" s="13" t="n"/>
    </row>
    <row r="111" ht="15.75" customHeight="1" s="19">
      <c r="G111" s="2">
        <f>IF(F111="","",SWITCH(F111,"Qualified",0.1,"Discovery",0.2,"Demo Booked",0.35,"Demo Completed",0.5,"Proposal",0.65,"Negotiation",0.8,"Closed Won",1,0))</f>
        <v/>
      </c>
      <c r="H111" s="16" t="n"/>
      <c r="I111" s="16" t="n"/>
      <c r="J111" s="16" t="n"/>
      <c r="K111" s="13" t="n"/>
      <c r="L111" s="13" t="n"/>
      <c r="M111" s="13" t="n"/>
    </row>
    <row r="112" ht="15.75" customHeight="1" s="19">
      <c r="G112" s="2">
        <f>IF(F112="","",SWITCH(F112,"Qualified",0.1,"Discovery",0.2,"Demo Booked",0.35,"Demo Completed",0.5,"Proposal",0.65,"Negotiation",0.8,"Closed Won",1,0))</f>
        <v/>
      </c>
      <c r="H112" s="16" t="n"/>
      <c r="I112" s="16" t="n"/>
      <c r="J112" s="16" t="n"/>
      <c r="K112" s="13" t="n"/>
      <c r="L112" s="13" t="n"/>
      <c r="M112" s="13" t="n"/>
    </row>
    <row r="113" ht="15.75" customHeight="1" s="19">
      <c r="G113" s="2">
        <f>IF(F113="","",SWITCH(F113,"Qualified",0.1,"Discovery",0.2,"Demo Booked",0.35,"Demo Completed",0.5,"Proposal",0.65,"Negotiation",0.8,"Closed Won",1,0))</f>
        <v/>
      </c>
      <c r="H113" s="16" t="n"/>
      <c r="I113" s="16" t="n"/>
      <c r="J113" s="16" t="n"/>
      <c r="K113" s="13" t="n"/>
      <c r="L113" s="13" t="n"/>
      <c r="M113" s="13" t="n"/>
    </row>
    <row r="114" ht="15.75" customHeight="1" s="19">
      <c r="G114" s="2">
        <f>IF(F114="","",SWITCH(F114,"Qualified",0.1,"Discovery",0.2,"Demo Booked",0.35,"Demo Completed",0.5,"Proposal",0.65,"Negotiation",0.8,"Closed Won",1,0))</f>
        <v/>
      </c>
      <c r="H114" s="16" t="n"/>
      <c r="I114" s="16" t="n"/>
      <c r="J114" s="16" t="n"/>
      <c r="K114" s="13" t="n"/>
      <c r="L114" s="13" t="n"/>
      <c r="M114" s="13" t="n"/>
    </row>
    <row r="115" ht="15.75" customHeight="1" s="19">
      <c r="G115" s="2">
        <f>IF(F115="","",SWITCH(F115,"Qualified",0.1,"Discovery",0.2,"Demo Booked",0.35,"Demo Completed",0.5,"Proposal",0.65,"Negotiation",0.8,"Closed Won",1,0))</f>
        <v/>
      </c>
      <c r="H115" s="16" t="n"/>
      <c r="I115" s="16" t="n"/>
      <c r="J115" s="16" t="n"/>
      <c r="K115" s="13" t="n"/>
      <c r="L115" s="13" t="n"/>
      <c r="M115" s="13" t="n"/>
    </row>
    <row r="116" ht="15.75" customHeight="1" s="19">
      <c r="G116" s="2">
        <f>IF(F116="","",SWITCH(F116,"Qualified",0.1,"Discovery",0.2,"Demo Booked",0.35,"Demo Completed",0.5,"Proposal",0.65,"Negotiation",0.8,"Closed Won",1,0))</f>
        <v/>
      </c>
      <c r="H116" s="16" t="n"/>
      <c r="I116" s="16" t="n"/>
      <c r="J116" s="16" t="n"/>
      <c r="K116" s="13" t="n"/>
      <c r="L116" s="13" t="n"/>
      <c r="M116" s="13" t="n"/>
    </row>
    <row r="117" ht="15.75" customHeight="1" s="19">
      <c r="G117" s="2">
        <f>IF(F117="","",SWITCH(F117,"Qualified",0.1,"Discovery",0.2,"Demo Booked",0.35,"Demo Completed",0.5,"Proposal",0.65,"Negotiation",0.8,"Closed Won",1,0))</f>
        <v/>
      </c>
      <c r="H117" s="16" t="n"/>
      <c r="I117" s="16" t="n"/>
      <c r="J117" s="16" t="n"/>
      <c r="K117" s="13" t="n"/>
      <c r="L117" s="13" t="n"/>
      <c r="M117" s="13" t="n"/>
    </row>
    <row r="118" ht="15.75" customHeight="1" s="19">
      <c r="G118" s="2">
        <f>IF(F118="","",SWITCH(F118,"Qualified",0.1,"Discovery",0.2,"Demo Booked",0.35,"Demo Completed",0.5,"Proposal",0.65,"Negotiation",0.8,"Closed Won",1,0))</f>
        <v/>
      </c>
      <c r="H118" s="16" t="n"/>
      <c r="I118" s="16" t="n"/>
      <c r="J118" s="16" t="n"/>
      <c r="K118" s="13" t="n"/>
      <c r="L118" s="13" t="n"/>
      <c r="M118" s="13" t="n"/>
    </row>
    <row r="119" ht="15.75" customHeight="1" s="19">
      <c r="G119" s="2">
        <f>IF(F119="","",SWITCH(F119,"Qualified",0.1,"Discovery",0.2,"Demo Booked",0.35,"Demo Completed",0.5,"Proposal",0.65,"Negotiation",0.8,"Closed Won",1,0))</f>
        <v/>
      </c>
      <c r="H119" s="16" t="n"/>
      <c r="I119" s="16" t="n"/>
      <c r="J119" s="16" t="n"/>
      <c r="K119" s="13" t="n"/>
      <c r="L119" s="13" t="n"/>
      <c r="M119" s="13" t="n"/>
    </row>
    <row r="120" ht="15.75" customHeight="1" s="19">
      <c r="G120" s="2">
        <f>IF(F120="","",SWITCH(F120,"Qualified",0.1,"Discovery",0.2,"Demo Booked",0.35,"Demo Completed",0.5,"Proposal",0.65,"Negotiation",0.8,"Closed Won",1,0))</f>
        <v/>
      </c>
      <c r="H120" s="16" t="n"/>
      <c r="I120" s="16" t="n"/>
      <c r="J120" s="16" t="n"/>
      <c r="K120" s="13" t="n"/>
      <c r="L120" s="13" t="n"/>
      <c r="M120" s="13" t="n"/>
    </row>
    <row r="121" ht="15.75" customHeight="1" s="19">
      <c r="G121" s="2">
        <f>IF(F121="","",SWITCH(F121,"Qualified",0.1,"Discovery",0.2,"Demo Booked",0.35,"Demo Completed",0.5,"Proposal",0.65,"Negotiation",0.8,"Closed Won",1,0))</f>
        <v/>
      </c>
      <c r="H121" s="16" t="n"/>
      <c r="I121" s="16" t="n"/>
      <c r="J121" s="16" t="n"/>
      <c r="K121" s="13" t="n"/>
      <c r="L121" s="13" t="n"/>
      <c r="M121" s="13" t="n"/>
    </row>
    <row r="122" ht="15.75" customHeight="1" s="19">
      <c r="G122" s="2">
        <f>IF(F122="","",SWITCH(F122,"Qualified",0.1,"Discovery",0.2,"Demo Booked",0.35,"Demo Completed",0.5,"Proposal",0.65,"Negotiation",0.8,"Closed Won",1,0))</f>
        <v/>
      </c>
      <c r="H122" s="16" t="n"/>
      <c r="I122" s="16" t="n"/>
      <c r="J122" s="16" t="n"/>
      <c r="K122" s="13" t="n"/>
      <c r="L122" s="13" t="n"/>
      <c r="M122" s="13" t="n"/>
    </row>
    <row r="123" ht="15.75" customHeight="1" s="19">
      <c r="G123" s="2">
        <f>IF(F123="","",SWITCH(F123,"Qualified",0.1,"Discovery",0.2,"Demo Booked",0.35,"Demo Completed",0.5,"Proposal",0.65,"Negotiation",0.8,"Closed Won",1,0))</f>
        <v/>
      </c>
      <c r="H123" s="16" t="n"/>
      <c r="I123" s="16" t="n"/>
      <c r="J123" s="16" t="n"/>
      <c r="K123" s="13" t="n"/>
      <c r="L123" s="13" t="n"/>
      <c r="M123" s="13" t="n"/>
    </row>
    <row r="124" ht="15.75" customHeight="1" s="19">
      <c r="G124" s="2">
        <f>IF(F124="","",SWITCH(F124,"Qualified",0.1,"Discovery",0.2,"Demo Booked",0.35,"Demo Completed",0.5,"Proposal",0.65,"Negotiation",0.8,"Closed Won",1,0))</f>
        <v/>
      </c>
      <c r="H124" s="16" t="n"/>
      <c r="I124" s="16" t="n"/>
      <c r="J124" s="16" t="n"/>
      <c r="K124" s="13" t="n"/>
      <c r="L124" s="13" t="n"/>
      <c r="M124" s="13" t="n"/>
    </row>
    <row r="125" ht="15.75" customHeight="1" s="19">
      <c r="G125" s="2">
        <f>IF(F125="","",SWITCH(F125,"Qualified",0.1,"Discovery",0.2,"Demo Booked",0.35,"Demo Completed",0.5,"Proposal",0.65,"Negotiation",0.8,"Closed Won",1,0))</f>
        <v/>
      </c>
      <c r="H125" s="16" t="n"/>
      <c r="I125" s="16" t="n"/>
      <c r="J125" s="16" t="n"/>
      <c r="K125" s="13" t="n"/>
      <c r="L125" s="13" t="n"/>
      <c r="M125" s="13" t="n"/>
    </row>
    <row r="126" ht="15.75" customHeight="1" s="19">
      <c r="G126" s="2">
        <f>IF(F126="","",SWITCH(F126,"Qualified",0.1,"Discovery",0.2,"Demo Booked",0.35,"Demo Completed",0.5,"Proposal",0.65,"Negotiation",0.8,"Closed Won",1,0))</f>
        <v/>
      </c>
      <c r="H126" s="16" t="n"/>
      <c r="I126" s="16" t="n"/>
      <c r="J126" s="16" t="n"/>
      <c r="K126" s="13" t="n"/>
      <c r="L126" s="13" t="n"/>
      <c r="M126" s="13" t="n"/>
    </row>
    <row r="127" ht="15.75" customHeight="1" s="19">
      <c r="G127" s="2">
        <f>IF(F127="","",SWITCH(F127,"Qualified",0.1,"Discovery",0.2,"Demo Booked",0.35,"Demo Completed",0.5,"Proposal",0.65,"Negotiation",0.8,"Closed Won",1,0))</f>
        <v/>
      </c>
      <c r="H127" s="16" t="n"/>
      <c r="I127" s="16" t="n"/>
      <c r="J127" s="16" t="n"/>
      <c r="K127" s="13" t="n"/>
      <c r="L127" s="13" t="n"/>
      <c r="M127" s="13" t="n"/>
    </row>
    <row r="128" ht="15.75" customHeight="1" s="19">
      <c r="G128" s="2">
        <f>IF(F128="","",SWITCH(F128,"Qualified",0.1,"Discovery",0.2,"Demo Booked",0.35,"Demo Completed",0.5,"Proposal",0.65,"Negotiation",0.8,"Closed Won",1,0))</f>
        <v/>
      </c>
      <c r="H128" s="16" t="n"/>
      <c r="I128" s="16" t="n"/>
      <c r="J128" s="16" t="n"/>
      <c r="K128" s="13" t="n"/>
      <c r="L128" s="13" t="n"/>
      <c r="M128" s="13" t="n"/>
    </row>
    <row r="129" ht="15.75" customHeight="1" s="19">
      <c r="G129" s="2">
        <f>IF(F129="","",SWITCH(F129,"Qualified",0.1,"Discovery",0.2,"Demo Booked",0.35,"Demo Completed",0.5,"Proposal",0.65,"Negotiation",0.8,"Closed Won",1,0))</f>
        <v/>
      </c>
      <c r="H129" s="16" t="n"/>
      <c r="I129" s="16" t="n"/>
      <c r="J129" s="16" t="n"/>
      <c r="K129" s="13" t="n"/>
      <c r="L129" s="13" t="n"/>
      <c r="M129" s="13" t="n"/>
    </row>
    <row r="130" ht="15.75" customHeight="1" s="19">
      <c r="G130" s="2">
        <f>IF(F130="","",SWITCH(F130,"Qualified",0.1,"Discovery",0.2,"Demo Booked",0.35,"Demo Completed",0.5,"Proposal",0.65,"Negotiation",0.8,"Closed Won",1,0))</f>
        <v/>
      </c>
      <c r="H130" s="16" t="n"/>
      <c r="I130" s="16" t="n"/>
      <c r="J130" s="16" t="n"/>
      <c r="K130" s="13" t="n"/>
      <c r="L130" s="13" t="n"/>
      <c r="M130" s="13" t="n"/>
    </row>
    <row r="131" ht="15.75" customHeight="1" s="19">
      <c r="G131" s="2">
        <f>IF(F131="","",SWITCH(F131,"Qualified",0.1,"Discovery",0.2,"Demo Booked",0.35,"Demo Completed",0.5,"Proposal",0.65,"Negotiation",0.8,"Closed Won",1,0))</f>
        <v/>
      </c>
      <c r="H131" s="16" t="n"/>
      <c r="I131" s="16" t="n"/>
      <c r="J131" s="16" t="n"/>
      <c r="K131" s="13" t="n"/>
      <c r="L131" s="13" t="n"/>
      <c r="M131" s="13" t="n"/>
    </row>
    <row r="132" ht="15.75" customHeight="1" s="19">
      <c r="G132" s="2">
        <f>IF(F132="","",SWITCH(F132,"Qualified",0.1,"Discovery",0.2,"Demo Booked",0.35,"Demo Completed",0.5,"Proposal",0.65,"Negotiation",0.8,"Closed Won",1,0))</f>
        <v/>
      </c>
      <c r="H132" s="16" t="n"/>
      <c r="I132" s="16" t="n"/>
      <c r="J132" s="16" t="n"/>
      <c r="K132" s="13" t="n"/>
      <c r="L132" s="13" t="n"/>
      <c r="M132" s="13" t="n"/>
    </row>
    <row r="133" ht="15.75" customHeight="1" s="19">
      <c r="G133" s="2">
        <f>IF(F133="","",SWITCH(F133,"Qualified",0.1,"Discovery",0.2,"Demo Booked",0.35,"Demo Completed",0.5,"Proposal",0.65,"Negotiation",0.8,"Closed Won",1,0))</f>
        <v/>
      </c>
      <c r="H133" s="16" t="n"/>
      <c r="I133" s="16" t="n"/>
      <c r="J133" s="16" t="n"/>
      <c r="K133" s="13" t="n"/>
      <c r="L133" s="13" t="n"/>
      <c r="M133" s="13" t="n"/>
    </row>
    <row r="134" ht="15.75" customHeight="1" s="19">
      <c r="G134" s="2">
        <f>IF(F134="","",SWITCH(F134,"Qualified",0.1,"Discovery",0.2,"Demo Booked",0.35,"Demo Completed",0.5,"Proposal",0.65,"Negotiation",0.8,"Closed Won",1,0))</f>
        <v/>
      </c>
      <c r="H134" s="16" t="n"/>
      <c r="I134" s="16" t="n"/>
      <c r="J134" s="16" t="n"/>
      <c r="K134" s="13" t="n"/>
      <c r="L134" s="13" t="n"/>
      <c r="M134" s="13" t="n"/>
    </row>
    <row r="135" ht="15.75" customHeight="1" s="19">
      <c r="G135" s="2">
        <f>IF(F135="","",SWITCH(F135,"Qualified",0.1,"Discovery",0.2,"Demo Booked",0.35,"Demo Completed",0.5,"Proposal",0.65,"Negotiation",0.8,"Closed Won",1,0))</f>
        <v/>
      </c>
      <c r="H135" s="16" t="n"/>
      <c r="I135" s="16" t="n"/>
      <c r="J135" s="16" t="n"/>
      <c r="K135" s="13" t="n"/>
      <c r="L135" s="13" t="n"/>
      <c r="M135" s="13" t="n"/>
    </row>
    <row r="136" ht="15.75" customHeight="1" s="19">
      <c r="G136" s="2">
        <f>IF(F136="","",SWITCH(F136,"Qualified",0.1,"Discovery",0.2,"Demo Booked",0.35,"Demo Completed",0.5,"Proposal",0.65,"Negotiation",0.8,"Closed Won",1,0))</f>
        <v/>
      </c>
      <c r="H136" s="16" t="n"/>
      <c r="I136" s="16" t="n"/>
      <c r="J136" s="16" t="n"/>
      <c r="K136" s="13" t="n"/>
      <c r="L136" s="13" t="n"/>
      <c r="M136" s="13" t="n"/>
    </row>
    <row r="137" ht="15.75" customHeight="1" s="19">
      <c r="G137" s="2">
        <f>IF(F137="","",SWITCH(F137,"Qualified",0.1,"Discovery",0.2,"Demo Booked",0.35,"Demo Completed",0.5,"Proposal",0.65,"Negotiation",0.8,"Closed Won",1,0))</f>
        <v/>
      </c>
      <c r="H137" s="16" t="n"/>
      <c r="I137" s="16" t="n"/>
      <c r="J137" s="16" t="n"/>
      <c r="K137" s="13" t="n"/>
      <c r="L137" s="13" t="n"/>
      <c r="M137" s="13" t="n"/>
    </row>
    <row r="138" ht="15.75" customHeight="1" s="19">
      <c r="G138" s="2">
        <f>IF(F138="","",SWITCH(F138,"Qualified",0.1,"Discovery",0.2,"Demo Booked",0.35,"Demo Completed",0.5,"Proposal",0.65,"Negotiation",0.8,"Closed Won",1,0))</f>
        <v/>
      </c>
      <c r="H138" s="16" t="n"/>
      <c r="I138" s="16" t="n"/>
      <c r="J138" s="16" t="n"/>
      <c r="K138" s="13" t="n"/>
      <c r="L138" s="13" t="n"/>
      <c r="M138" s="13" t="n"/>
    </row>
    <row r="139" ht="15.75" customHeight="1" s="19">
      <c r="G139" s="2">
        <f>IF(F139="","",SWITCH(F139,"Qualified",0.1,"Discovery",0.2,"Demo Booked",0.35,"Demo Completed",0.5,"Proposal",0.65,"Negotiation",0.8,"Closed Won",1,0))</f>
        <v/>
      </c>
      <c r="H139" s="16" t="n"/>
      <c r="I139" s="16" t="n"/>
      <c r="J139" s="16" t="n"/>
      <c r="K139" s="13" t="n"/>
      <c r="L139" s="13" t="n"/>
      <c r="M139" s="13" t="n"/>
    </row>
    <row r="140" ht="15.75" customHeight="1" s="19">
      <c r="G140" s="2">
        <f>IF(F140="","",SWITCH(F140,"Qualified",0.1,"Discovery",0.2,"Demo Booked",0.35,"Demo Completed",0.5,"Proposal",0.65,"Negotiation",0.8,"Closed Won",1,0))</f>
        <v/>
      </c>
      <c r="H140" s="16" t="n"/>
      <c r="I140" s="16" t="n"/>
      <c r="J140" s="16" t="n"/>
      <c r="K140" s="13" t="n"/>
      <c r="L140" s="13" t="n"/>
      <c r="M140" s="13" t="n"/>
    </row>
    <row r="141" ht="15.75" customHeight="1" s="19">
      <c r="G141" s="2">
        <f>IF(F141="","",SWITCH(F141,"Qualified",0.1,"Discovery",0.2,"Demo Booked",0.35,"Demo Completed",0.5,"Proposal",0.65,"Negotiation",0.8,"Closed Won",1,0))</f>
        <v/>
      </c>
      <c r="H141" s="16" t="n"/>
      <c r="I141" s="16" t="n"/>
      <c r="J141" s="16" t="n"/>
      <c r="K141" s="13" t="n"/>
      <c r="L141" s="13" t="n"/>
      <c r="M141" s="13" t="n"/>
    </row>
    <row r="142" ht="15.75" customHeight="1" s="19">
      <c r="G142" s="2">
        <f>IF(F142="","",SWITCH(F142,"Qualified",0.1,"Discovery",0.2,"Demo Booked",0.35,"Demo Completed",0.5,"Proposal",0.65,"Negotiation",0.8,"Closed Won",1,0))</f>
        <v/>
      </c>
      <c r="H142" s="16" t="n"/>
      <c r="I142" s="16" t="n"/>
      <c r="J142" s="16" t="n"/>
      <c r="K142" s="13" t="n"/>
      <c r="L142" s="13" t="n"/>
      <c r="M142" s="13" t="n"/>
    </row>
    <row r="143" ht="15.75" customHeight="1" s="19">
      <c r="G143" s="2">
        <f>IF(F143="","",SWITCH(F143,"Qualified",0.1,"Discovery",0.2,"Demo Booked",0.35,"Demo Completed",0.5,"Proposal",0.65,"Negotiation",0.8,"Closed Won",1,0))</f>
        <v/>
      </c>
      <c r="H143" s="16" t="n"/>
      <c r="I143" s="16" t="n"/>
      <c r="J143" s="16" t="n"/>
      <c r="K143" s="13" t="n"/>
      <c r="L143" s="13" t="n"/>
      <c r="M143" s="13" t="n"/>
    </row>
    <row r="144" ht="15.75" customHeight="1" s="19">
      <c r="G144" s="2">
        <f>IF(F144="","",SWITCH(F144,"Qualified",0.1,"Discovery",0.2,"Demo Booked",0.35,"Demo Completed",0.5,"Proposal",0.65,"Negotiation",0.8,"Closed Won",1,0))</f>
        <v/>
      </c>
      <c r="H144" s="16" t="n"/>
      <c r="I144" s="16" t="n"/>
      <c r="J144" s="16" t="n"/>
      <c r="K144" s="13" t="n"/>
      <c r="L144" s="13" t="n"/>
      <c r="M144" s="13" t="n"/>
    </row>
    <row r="145" ht="15.75" customHeight="1" s="19">
      <c r="G145" s="2">
        <f>IF(F145="","",SWITCH(F145,"Qualified",0.1,"Discovery",0.2,"Demo Booked",0.35,"Demo Completed",0.5,"Proposal",0.65,"Negotiation",0.8,"Closed Won",1,0))</f>
        <v/>
      </c>
      <c r="H145" s="16" t="n"/>
      <c r="I145" s="16" t="n"/>
      <c r="J145" s="16" t="n"/>
      <c r="K145" s="13" t="n"/>
      <c r="L145" s="13" t="n"/>
      <c r="M145" s="13" t="n"/>
    </row>
    <row r="146" ht="15.75" customHeight="1" s="19">
      <c r="G146" s="2">
        <f>IF(F146="","",SWITCH(F146,"Qualified",0.1,"Discovery",0.2,"Demo Booked",0.35,"Demo Completed",0.5,"Proposal",0.65,"Negotiation",0.8,"Closed Won",1,0))</f>
        <v/>
      </c>
      <c r="H146" s="16" t="n"/>
      <c r="I146" s="16" t="n"/>
      <c r="J146" s="16" t="n"/>
      <c r="K146" s="13" t="n"/>
      <c r="L146" s="13" t="n"/>
      <c r="M146" s="13" t="n"/>
    </row>
    <row r="147" ht="15.75" customHeight="1" s="19">
      <c r="G147" s="2">
        <f>IF(F147="","",SWITCH(F147,"Qualified",0.1,"Discovery",0.2,"Demo Booked",0.35,"Demo Completed",0.5,"Proposal",0.65,"Negotiation",0.8,"Closed Won",1,0))</f>
        <v/>
      </c>
      <c r="H147" s="16" t="n"/>
      <c r="I147" s="16" t="n"/>
      <c r="J147" s="16" t="n"/>
      <c r="K147" s="13" t="n"/>
      <c r="L147" s="13" t="n"/>
      <c r="M147" s="13" t="n"/>
    </row>
    <row r="148" ht="15.75" customHeight="1" s="19">
      <c r="G148" s="2">
        <f>IF(F148="","",SWITCH(F148,"Qualified",0.1,"Discovery",0.2,"Demo Booked",0.35,"Demo Completed",0.5,"Proposal",0.65,"Negotiation",0.8,"Closed Won",1,0))</f>
        <v/>
      </c>
      <c r="H148" s="16" t="n"/>
      <c r="I148" s="16" t="n"/>
      <c r="J148" s="16" t="n"/>
      <c r="K148" s="13" t="n"/>
      <c r="L148" s="13" t="n"/>
      <c r="M148" s="13" t="n"/>
    </row>
    <row r="149" ht="15.75" customHeight="1" s="19">
      <c r="G149" s="2">
        <f>IF(F149="","",SWITCH(F149,"Qualified",0.1,"Discovery",0.2,"Demo Booked",0.35,"Demo Completed",0.5,"Proposal",0.65,"Negotiation",0.8,"Closed Won",1,0))</f>
        <v/>
      </c>
      <c r="H149" s="16" t="n"/>
      <c r="I149" s="16" t="n"/>
      <c r="J149" s="16" t="n"/>
      <c r="K149" s="13" t="n"/>
      <c r="L149" s="13" t="n"/>
      <c r="M149" s="13" t="n"/>
    </row>
    <row r="150" ht="15.75" customHeight="1" s="19">
      <c r="G150" s="2">
        <f>IF(F150="","",SWITCH(F150,"Qualified",0.1,"Discovery",0.2,"Demo Booked",0.35,"Demo Completed",0.5,"Proposal",0.65,"Negotiation",0.8,"Closed Won",1,0))</f>
        <v/>
      </c>
      <c r="H150" s="16" t="n"/>
      <c r="I150" s="16" t="n"/>
      <c r="J150" s="16" t="n"/>
      <c r="K150" s="13" t="n"/>
      <c r="L150" s="13" t="n"/>
      <c r="M150" s="13" t="n"/>
    </row>
    <row r="151" ht="15.75" customHeight="1" s="19">
      <c r="G151" s="2">
        <f>IF(F151="","",SWITCH(F151,"Qualified",0.1,"Discovery",0.2,"Demo Booked",0.35,"Demo Completed",0.5,"Proposal",0.65,"Negotiation",0.8,"Closed Won",1,0))</f>
        <v/>
      </c>
      <c r="H151" s="16" t="n"/>
      <c r="I151" s="16" t="n"/>
      <c r="J151" s="16" t="n"/>
      <c r="K151" s="13" t="n"/>
      <c r="L151" s="13" t="n"/>
      <c r="M151" s="13" t="n"/>
    </row>
    <row r="152" ht="15.75" customHeight="1" s="19">
      <c r="G152" s="2">
        <f>IF(F152="","",SWITCH(F152,"Qualified",0.1,"Discovery",0.2,"Demo Booked",0.35,"Demo Completed",0.5,"Proposal",0.65,"Negotiation",0.8,"Closed Won",1,0))</f>
        <v/>
      </c>
      <c r="H152" s="16" t="n"/>
      <c r="I152" s="16" t="n"/>
      <c r="J152" s="16" t="n"/>
      <c r="K152" s="13" t="n"/>
      <c r="L152" s="13" t="n"/>
      <c r="M152" s="13" t="n"/>
    </row>
    <row r="153" ht="15.75" customHeight="1" s="19">
      <c r="G153" s="2">
        <f>IF(F153="","",SWITCH(F153,"Qualified",0.1,"Discovery",0.2,"Demo Booked",0.35,"Demo Completed",0.5,"Proposal",0.65,"Negotiation",0.8,"Closed Won",1,0))</f>
        <v/>
      </c>
      <c r="H153" s="16" t="n"/>
      <c r="I153" s="16" t="n"/>
      <c r="J153" s="16" t="n"/>
      <c r="K153" s="13" t="n"/>
      <c r="L153" s="13" t="n"/>
      <c r="M153" s="13" t="n"/>
    </row>
    <row r="154" ht="15.75" customHeight="1" s="19">
      <c r="G154" s="2">
        <f>IF(F154="","",SWITCH(F154,"Qualified",0.1,"Discovery",0.2,"Demo Booked",0.35,"Demo Completed",0.5,"Proposal",0.65,"Negotiation",0.8,"Closed Won",1,0))</f>
        <v/>
      </c>
      <c r="H154" s="16" t="n"/>
      <c r="I154" s="16" t="n"/>
      <c r="J154" s="16" t="n"/>
      <c r="K154" s="13" t="n"/>
      <c r="L154" s="13" t="n"/>
      <c r="M154" s="13" t="n"/>
    </row>
    <row r="155" ht="15.75" customHeight="1" s="19">
      <c r="G155" s="2">
        <f>IF(F155="","",SWITCH(F155,"Qualified",0.1,"Discovery",0.2,"Demo Booked",0.35,"Demo Completed",0.5,"Proposal",0.65,"Negotiation",0.8,"Closed Won",1,0))</f>
        <v/>
      </c>
      <c r="H155" s="16" t="n"/>
      <c r="I155" s="16" t="n"/>
      <c r="J155" s="16" t="n"/>
      <c r="K155" s="13" t="n"/>
      <c r="L155" s="13" t="n"/>
      <c r="M155" s="13" t="n"/>
    </row>
    <row r="156" ht="15.75" customHeight="1" s="19">
      <c r="G156" s="2">
        <f>IF(F156="","",SWITCH(F156,"Qualified",0.1,"Discovery",0.2,"Demo Booked",0.35,"Demo Completed",0.5,"Proposal",0.65,"Negotiation",0.8,"Closed Won",1,0))</f>
        <v/>
      </c>
      <c r="H156" s="16" t="n"/>
      <c r="I156" s="16" t="n"/>
      <c r="J156" s="16" t="n"/>
      <c r="K156" s="13" t="n"/>
      <c r="L156" s="13" t="n"/>
      <c r="M156" s="13" t="n"/>
    </row>
    <row r="157" ht="15.75" customHeight="1" s="19">
      <c r="G157" s="2">
        <f>IF(F157="","",SWITCH(F157,"Qualified",0.1,"Discovery",0.2,"Demo Booked",0.35,"Demo Completed",0.5,"Proposal",0.65,"Negotiation",0.8,"Closed Won",1,0))</f>
        <v/>
      </c>
      <c r="H157" s="16" t="n"/>
      <c r="I157" s="16" t="n"/>
      <c r="J157" s="16" t="n"/>
      <c r="K157" s="13" t="n"/>
      <c r="L157" s="13" t="n"/>
      <c r="M157" s="13" t="n"/>
    </row>
    <row r="158" ht="15.75" customHeight="1" s="19">
      <c r="G158" s="2">
        <f>IF(F158="","",SWITCH(F158,"Qualified",0.1,"Discovery",0.2,"Demo Booked",0.35,"Demo Completed",0.5,"Proposal",0.65,"Negotiation",0.8,"Closed Won",1,0))</f>
        <v/>
      </c>
      <c r="H158" s="16" t="n"/>
      <c r="I158" s="16" t="n"/>
      <c r="J158" s="16" t="n"/>
      <c r="K158" s="13" t="n"/>
      <c r="L158" s="13" t="n"/>
      <c r="M158" s="13" t="n"/>
    </row>
    <row r="159" ht="15.75" customHeight="1" s="19">
      <c r="G159" s="2">
        <f>IF(F159="","",SWITCH(F159,"Qualified",0.1,"Discovery",0.2,"Demo Booked",0.35,"Demo Completed",0.5,"Proposal",0.65,"Negotiation",0.8,"Closed Won",1,0))</f>
        <v/>
      </c>
      <c r="H159" s="16" t="n"/>
      <c r="I159" s="16" t="n"/>
      <c r="J159" s="16" t="n"/>
      <c r="K159" s="13" t="n"/>
      <c r="L159" s="13" t="n"/>
      <c r="M159" s="13" t="n"/>
    </row>
    <row r="160" ht="15.75" customHeight="1" s="19">
      <c r="G160" s="2">
        <f>IF(F160="","",SWITCH(F160,"Qualified",0.1,"Discovery",0.2,"Demo Booked",0.35,"Demo Completed",0.5,"Proposal",0.65,"Negotiation",0.8,"Closed Won",1,0))</f>
        <v/>
      </c>
      <c r="H160" s="16" t="n"/>
      <c r="I160" s="16" t="n"/>
      <c r="J160" s="16" t="n"/>
      <c r="K160" s="13" t="n"/>
      <c r="L160" s="13" t="n"/>
      <c r="M160" s="13" t="n"/>
    </row>
    <row r="161" ht="15.75" customHeight="1" s="19">
      <c r="G161" s="2">
        <f>IF(F161="","",SWITCH(F161,"Qualified",0.1,"Discovery",0.2,"Demo Booked",0.35,"Demo Completed",0.5,"Proposal",0.65,"Negotiation",0.8,"Closed Won",1,0))</f>
        <v/>
      </c>
      <c r="H161" s="16" t="n"/>
      <c r="I161" s="16" t="n"/>
      <c r="J161" s="16" t="n"/>
      <c r="K161" s="13" t="n"/>
      <c r="L161" s="13" t="n"/>
      <c r="M161" s="13" t="n"/>
    </row>
    <row r="162" ht="15.75" customHeight="1" s="19">
      <c r="G162" s="2">
        <f>IF(F162="","",SWITCH(F162,"Qualified",0.1,"Discovery",0.2,"Demo Booked",0.35,"Demo Completed",0.5,"Proposal",0.65,"Negotiation",0.8,"Closed Won",1,0))</f>
        <v/>
      </c>
      <c r="H162" s="16" t="n"/>
      <c r="I162" s="16" t="n"/>
      <c r="J162" s="16" t="n"/>
      <c r="K162" s="13" t="n"/>
      <c r="L162" s="13" t="n"/>
      <c r="M162" s="13" t="n"/>
    </row>
    <row r="163" ht="15.75" customHeight="1" s="19">
      <c r="G163" s="2">
        <f>IF(F163="","",SWITCH(F163,"Qualified",0.1,"Discovery",0.2,"Demo Booked",0.35,"Demo Completed",0.5,"Proposal",0.65,"Negotiation",0.8,"Closed Won",1,0))</f>
        <v/>
      </c>
      <c r="H163" s="16" t="n"/>
      <c r="I163" s="16" t="n"/>
      <c r="J163" s="16" t="n"/>
      <c r="K163" s="13" t="n"/>
      <c r="L163" s="13" t="n"/>
      <c r="M163" s="13" t="n"/>
    </row>
    <row r="164" ht="15.75" customHeight="1" s="19">
      <c r="G164" s="2">
        <f>IF(F164="","",SWITCH(F164,"Qualified",0.1,"Discovery",0.2,"Demo Booked",0.35,"Demo Completed",0.5,"Proposal",0.65,"Negotiation",0.8,"Closed Won",1,0))</f>
        <v/>
      </c>
      <c r="H164" s="16" t="n"/>
      <c r="I164" s="16" t="n"/>
      <c r="J164" s="16" t="n"/>
      <c r="K164" s="13" t="n"/>
      <c r="L164" s="13" t="n"/>
      <c r="M164" s="13" t="n"/>
    </row>
    <row r="165" ht="15.75" customHeight="1" s="19">
      <c r="G165" s="2">
        <f>IF(F165="","",SWITCH(F165,"Qualified",0.1,"Discovery",0.2,"Demo Booked",0.35,"Demo Completed",0.5,"Proposal",0.65,"Negotiation",0.8,"Closed Won",1,0))</f>
        <v/>
      </c>
      <c r="H165" s="16" t="n"/>
      <c r="I165" s="16" t="n"/>
      <c r="J165" s="16" t="n"/>
      <c r="K165" s="13" t="n"/>
      <c r="L165" s="13" t="n"/>
      <c r="M165" s="13" t="n"/>
    </row>
    <row r="166" ht="15.75" customHeight="1" s="19">
      <c r="G166" s="2">
        <f>IF(F166="","",SWITCH(F166,"Qualified",0.1,"Discovery",0.2,"Demo Booked",0.35,"Demo Completed",0.5,"Proposal",0.65,"Negotiation",0.8,"Closed Won",1,0))</f>
        <v/>
      </c>
      <c r="H166" s="16" t="n"/>
      <c r="I166" s="16" t="n"/>
      <c r="J166" s="16" t="n"/>
      <c r="K166" s="13" t="n"/>
      <c r="L166" s="13" t="n"/>
      <c r="M166" s="13" t="n"/>
    </row>
    <row r="167" ht="15.75" customHeight="1" s="19">
      <c r="G167" s="2">
        <f>IF(F167="","",SWITCH(F167,"Qualified",0.1,"Discovery",0.2,"Demo Booked",0.35,"Demo Completed",0.5,"Proposal",0.65,"Negotiation",0.8,"Closed Won",1,0))</f>
        <v/>
      </c>
      <c r="H167" s="16" t="n"/>
      <c r="I167" s="16" t="n"/>
      <c r="J167" s="16" t="n"/>
      <c r="K167" s="13" t="n"/>
      <c r="L167" s="13" t="n"/>
      <c r="M167" s="13" t="n"/>
    </row>
    <row r="168" ht="15.75" customHeight="1" s="19">
      <c r="G168" s="2">
        <f>IF(F168="","",SWITCH(F168,"Qualified",0.1,"Discovery",0.2,"Demo Booked",0.35,"Demo Completed",0.5,"Proposal",0.65,"Negotiation",0.8,"Closed Won",1,0))</f>
        <v/>
      </c>
      <c r="H168" s="16" t="n"/>
      <c r="I168" s="16" t="n"/>
      <c r="J168" s="16" t="n"/>
      <c r="K168" s="13" t="n"/>
      <c r="L168" s="13" t="n"/>
      <c r="M168" s="13" t="n"/>
    </row>
    <row r="169" ht="15.75" customHeight="1" s="19">
      <c r="G169" s="2">
        <f>IF(F169="","",SWITCH(F169,"Qualified",0.1,"Discovery",0.2,"Demo Booked",0.35,"Demo Completed",0.5,"Proposal",0.65,"Negotiation",0.8,"Closed Won",1,0))</f>
        <v/>
      </c>
      <c r="H169" s="16" t="n"/>
      <c r="I169" s="16" t="n"/>
      <c r="J169" s="16" t="n"/>
      <c r="K169" s="13" t="n"/>
      <c r="L169" s="13" t="n"/>
      <c r="M169" s="13" t="n"/>
    </row>
    <row r="170" ht="15.75" customHeight="1" s="19">
      <c r="G170" s="2">
        <f>IF(F170="","",SWITCH(F170,"Qualified",0.1,"Discovery",0.2,"Demo Booked",0.35,"Demo Completed",0.5,"Proposal",0.65,"Negotiation",0.8,"Closed Won",1,0))</f>
        <v/>
      </c>
      <c r="H170" s="16" t="n"/>
      <c r="I170" s="16" t="n"/>
      <c r="J170" s="16" t="n"/>
      <c r="K170" s="13" t="n"/>
      <c r="L170" s="13" t="n"/>
      <c r="M170" s="13" t="n"/>
    </row>
    <row r="171" ht="15.75" customHeight="1" s="19">
      <c r="G171" s="2">
        <f>IF(F171="","",SWITCH(F171,"Qualified",0.1,"Discovery",0.2,"Demo Booked",0.35,"Demo Completed",0.5,"Proposal",0.65,"Negotiation",0.8,"Closed Won",1,0))</f>
        <v/>
      </c>
      <c r="H171" s="16" t="n"/>
      <c r="I171" s="16" t="n"/>
      <c r="J171" s="16" t="n"/>
      <c r="K171" s="13" t="n"/>
      <c r="L171" s="13" t="n"/>
      <c r="M171" s="13" t="n"/>
    </row>
    <row r="172" ht="15.75" customHeight="1" s="19">
      <c r="G172" s="2">
        <f>IF(F172="","",SWITCH(F172,"Qualified",0.1,"Discovery",0.2,"Demo Booked",0.35,"Demo Completed",0.5,"Proposal",0.65,"Negotiation",0.8,"Closed Won",1,0))</f>
        <v/>
      </c>
      <c r="H172" s="16" t="n"/>
      <c r="I172" s="16" t="n"/>
      <c r="J172" s="16" t="n"/>
      <c r="K172" s="13" t="n"/>
      <c r="L172" s="13" t="n"/>
      <c r="M172" s="13" t="n"/>
    </row>
    <row r="173" ht="15.75" customHeight="1" s="19">
      <c r="G173" s="2">
        <f>IF(F173="","",SWITCH(F173,"Qualified",0.1,"Discovery",0.2,"Demo Booked",0.35,"Demo Completed",0.5,"Proposal",0.65,"Negotiation",0.8,"Closed Won",1,0))</f>
        <v/>
      </c>
      <c r="H173" s="16" t="n"/>
      <c r="I173" s="16" t="n"/>
      <c r="J173" s="16" t="n"/>
      <c r="K173" s="13" t="n"/>
      <c r="L173" s="13" t="n"/>
      <c r="M173" s="13" t="n"/>
    </row>
    <row r="174" ht="15.75" customHeight="1" s="19">
      <c r="G174" s="2">
        <f>IF(F174="","",SWITCH(F174,"Qualified",0.1,"Discovery",0.2,"Demo Booked",0.35,"Demo Completed",0.5,"Proposal",0.65,"Negotiation",0.8,"Closed Won",1,0))</f>
        <v/>
      </c>
      <c r="H174" s="16" t="n"/>
      <c r="I174" s="16" t="n"/>
      <c r="J174" s="16" t="n"/>
      <c r="K174" s="13" t="n"/>
      <c r="L174" s="13" t="n"/>
      <c r="M174" s="13" t="n"/>
    </row>
    <row r="175" ht="15.75" customHeight="1" s="19">
      <c r="G175" s="2">
        <f>IF(F175="","",SWITCH(F175,"Qualified",0.1,"Discovery",0.2,"Demo Booked",0.35,"Demo Completed",0.5,"Proposal",0.65,"Negotiation",0.8,"Closed Won",1,0))</f>
        <v/>
      </c>
      <c r="H175" s="16" t="n"/>
      <c r="I175" s="16" t="n"/>
      <c r="J175" s="16" t="n"/>
      <c r="K175" s="13" t="n"/>
      <c r="L175" s="13" t="n"/>
      <c r="M175" s="13" t="n"/>
    </row>
    <row r="176" ht="15.75" customHeight="1" s="19">
      <c r="G176" s="2">
        <f>IF(F176="","",SWITCH(F176,"Qualified",0.1,"Discovery",0.2,"Demo Booked",0.35,"Demo Completed",0.5,"Proposal",0.65,"Negotiation",0.8,"Closed Won",1,0))</f>
        <v/>
      </c>
      <c r="H176" s="16" t="n"/>
      <c r="I176" s="16" t="n"/>
      <c r="J176" s="16" t="n"/>
      <c r="K176" s="13" t="n"/>
      <c r="L176" s="13" t="n"/>
      <c r="M176" s="13" t="n"/>
    </row>
    <row r="177" ht="15.75" customHeight="1" s="19">
      <c r="G177" s="2">
        <f>IF(F177="","",SWITCH(F177,"Qualified",0.1,"Discovery",0.2,"Demo Booked",0.35,"Demo Completed",0.5,"Proposal",0.65,"Negotiation",0.8,"Closed Won",1,0))</f>
        <v/>
      </c>
      <c r="H177" s="16" t="n"/>
      <c r="I177" s="16" t="n"/>
      <c r="J177" s="16" t="n"/>
      <c r="K177" s="13" t="n"/>
      <c r="L177" s="13" t="n"/>
      <c r="M177" s="13" t="n"/>
    </row>
    <row r="178" ht="15.75" customHeight="1" s="19">
      <c r="G178" s="2">
        <f>IF(F178="","",SWITCH(F178,"Qualified",0.1,"Discovery",0.2,"Demo Booked",0.35,"Demo Completed",0.5,"Proposal",0.65,"Negotiation",0.8,"Closed Won",1,0))</f>
        <v/>
      </c>
      <c r="H178" s="16" t="n"/>
      <c r="I178" s="16" t="n"/>
      <c r="J178" s="16" t="n"/>
      <c r="K178" s="13" t="n"/>
      <c r="L178" s="13" t="n"/>
      <c r="M178" s="13" t="n"/>
    </row>
    <row r="179" ht="15.75" customHeight="1" s="19">
      <c r="G179" s="2">
        <f>IF(F179="","",SWITCH(F179,"Qualified",0.1,"Discovery",0.2,"Demo Booked",0.35,"Demo Completed",0.5,"Proposal",0.65,"Negotiation",0.8,"Closed Won",1,0))</f>
        <v/>
      </c>
      <c r="H179" s="16" t="n"/>
      <c r="I179" s="16" t="n"/>
      <c r="J179" s="16" t="n"/>
      <c r="K179" s="13" t="n"/>
      <c r="L179" s="13" t="n"/>
      <c r="M179" s="13" t="n"/>
    </row>
    <row r="180" ht="15.75" customHeight="1" s="19">
      <c r="G180" s="2">
        <f>IF(F180="","",SWITCH(F180,"Qualified",0.1,"Discovery",0.2,"Demo Booked",0.35,"Demo Completed",0.5,"Proposal",0.65,"Negotiation",0.8,"Closed Won",1,0))</f>
        <v/>
      </c>
      <c r="H180" s="16" t="n"/>
      <c r="I180" s="16" t="n"/>
      <c r="J180" s="16" t="n"/>
      <c r="K180" s="13" t="n"/>
      <c r="L180" s="13" t="n"/>
      <c r="M180" s="13" t="n"/>
    </row>
    <row r="181" ht="15.75" customHeight="1" s="19">
      <c r="G181" s="2">
        <f>IF(F181="","",SWITCH(F181,"Qualified",0.1,"Discovery",0.2,"Demo Booked",0.35,"Demo Completed",0.5,"Proposal",0.65,"Negotiation",0.8,"Closed Won",1,0))</f>
        <v/>
      </c>
      <c r="H181" s="16" t="n"/>
      <c r="I181" s="16" t="n"/>
      <c r="J181" s="16" t="n"/>
      <c r="K181" s="13" t="n"/>
      <c r="L181" s="13" t="n"/>
      <c r="M181" s="13" t="n"/>
    </row>
    <row r="182" ht="15.75" customHeight="1" s="19">
      <c r="G182" s="2">
        <f>IF(F182="","",SWITCH(F182,"Qualified",0.1,"Discovery",0.2,"Demo Booked",0.35,"Demo Completed",0.5,"Proposal",0.65,"Negotiation",0.8,"Closed Won",1,0))</f>
        <v/>
      </c>
      <c r="H182" s="16" t="n"/>
      <c r="I182" s="16" t="n"/>
      <c r="J182" s="16" t="n"/>
      <c r="K182" s="13" t="n"/>
      <c r="L182" s="13" t="n"/>
      <c r="M182" s="13" t="n"/>
    </row>
    <row r="183" ht="15.75" customHeight="1" s="19">
      <c r="G183" s="2">
        <f>IF(F183="","",SWITCH(F183,"Qualified",0.1,"Discovery",0.2,"Demo Booked",0.35,"Demo Completed",0.5,"Proposal",0.65,"Negotiation",0.8,"Closed Won",1,0))</f>
        <v/>
      </c>
      <c r="H183" s="16" t="n"/>
      <c r="I183" s="16" t="n"/>
      <c r="J183" s="16" t="n"/>
      <c r="K183" s="13" t="n"/>
      <c r="L183" s="13" t="n"/>
      <c r="M183" s="13" t="n"/>
    </row>
    <row r="184" ht="15.75" customHeight="1" s="19">
      <c r="G184" s="2">
        <f>IF(F184="","",SWITCH(F184,"Qualified",0.1,"Discovery",0.2,"Demo Booked",0.35,"Demo Completed",0.5,"Proposal",0.65,"Negotiation",0.8,"Closed Won",1,0))</f>
        <v/>
      </c>
      <c r="H184" s="16" t="n"/>
      <c r="I184" s="16" t="n"/>
      <c r="J184" s="16" t="n"/>
      <c r="K184" s="13" t="n"/>
      <c r="L184" s="13" t="n"/>
      <c r="M184" s="13" t="n"/>
    </row>
    <row r="185" ht="15.75" customHeight="1" s="19">
      <c r="G185" s="2">
        <f>IF(F185="","",SWITCH(F185,"Qualified",0.1,"Discovery",0.2,"Demo Booked",0.35,"Demo Completed",0.5,"Proposal",0.65,"Negotiation",0.8,"Closed Won",1,0))</f>
        <v/>
      </c>
      <c r="H185" s="16" t="n"/>
      <c r="I185" s="16" t="n"/>
      <c r="J185" s="16" t="n"/>
      <c r="K185" s="13" t="n"/>
      <c r="L185" s="13" t="n"/>
      <c r="M185" s="13" t="n"/>
    </row>
    <row r="186" ht="15.75" customHeight="1" s="19">
      <c r="G186" s="2">
        <f>IF(F186="","",SWITCH(F186,"Qualified",0.1,"Discovery",0.2,"Demo Booked",0.35,"Demo Completed",0.5,"Proposal",0.65,"Negotiation",0.8,"Closed Won",1,0))</f>
        <v/>
      </c>
      <c r="H186" s="16" t="n"/>
      <c r="I186" s="16" t="n"/>
      <c r="J186" s="16" t="n"/>
      <c r="K186" s="13" t="n"/>
      <c r="L186" s="13" t="n"/>
      <c r="M186" s="13" t="n"/>
    </row>
    <row r="187" ht="15.75" customHeight="1" s="19">
      <c r="G187" s="2">
        <f>IF(F187="","",SWITCH(F187,"Qualified",0.1,"Discovery",0.2,"Demo Booked",0.35,"Demo Completed",0.5,"Proposal",0.65,"Negotiation",0.8,"Closed Won",1,0))</f>
        <v/>
      </c>
      <c r="H187" s="16" t="n"/>
      <c r="I187" s="16" t="n"/>
      <c r="J187" s="16" t="n"/>
      <c r="K187" s="13" t="n"/>
      <c r="L187" s="13" t="n"/>
      <c r="M187" s="13" t="n"/>
    </row>
    <row r="188" ht="15.75" customHeight="1" s="19">
      <c r="G188" s="2">
        <f>IF(F188="","",SWITCH(F188,"Qualified",0.1,"Discovery",0.2,"Demo Booked",0.35,"Demo Completed",0.5,"Proposal",0.65,"Negotiation",0.8,"Closed Won",1,0))</f>
        <v/>
      </c>
      <c r="H188" s="16" t="n"/>
      <c r="I188" s="16" t="n"/>
      <c r="J188" s="16" t="n"/>
      <c r="K188" s="13" t="n"/>
      <c r="L188" s="13" t="n"/>
      <c r="M188" s="13" t="n"/>
    </row>
    <row r="189" ht="15.75" customHeight="1" s="19">
      <c r="G189" s="2">
        <f>IF(F189="","",SWITCH(F189,"Qualified",0.1,"Discovery",0.2,"Demo Booked",0.35,"Demo Completed",0.5,"Proposal",0.65,"Negotiation",0.8,"Closed Won",1,0))</f>
        <v/>
      </c>
      <c r="H189" s="16" t="n"/>
      <c r="I189" s="16" t="n"/>
      <c r="J189" s="16" t="n"/>
      <c r="K189" s="13" t="n"/>
      <c r="L189" s="13" t="n"/>
      <c r="M189" s="13" t="n"/>
    </row>
    <row r="190" ht="15.75" customHeight="1" s="19">
      <c r="G190" s="2">
        <f>IF(F190="","",SWITCH(F190,"Qualified",0.1,"Discovery",0.2,"Demo Booked",0.35,"Demo Completed",0.5,"Proposal",0.65,"Negotiation",0.8,"Closed Won",1,0))</f>
        <v/>
      </c>
      <c r="H190" s="16" t="n"/>
      <c r="I190" s="16" t="n"/>
      <c r="J190" s="16" t="n"/>
      <c r="K190" s="13" t="n"/>
      <c r="L190" s="13" t="n"/>
      <c r="M190" s="13" t="n"/>
    </row>
    <row r="191" ht="15.75" customHeight="1" s="19">
      <c r="G191" s="2">
        <f>IF(F191="","",SWITCH(F191,"Qualified",0.1,"Discovery",0.2,"Demo Booked",0.35,"Demo Completed",0.5,"Proposal",0.65,"Negotiation",0.8,"Closed Won",1,0))</f>
        <v/>
      </c>
      <c r="H191" s="16" t="n"/>
      <c r="I191" s="16" t="n"/>
      <c r="J191" s="16" t="n"/>
      <c r="K191" s="13" t="n"/>
      <c r="L191" s="13" t="n"/>
      <c r="M191" s="13" t="n"/>
    </row>
    <row r="192" ht="15.75" customHeight="1" s="19">
      <c r="G192" s="2">
        <f>IF(F192="","",SWITCH(F192,"Qualified",0.1,"Discovery",0.2,"Demo Booked",0.35,"Demo Completed",0.5,"Proposal",0.65,"Negotiation",0.8,"Closed Won",1,0))</f>
        <v/>
      </c>
      <c r="H192" s="16" t="n"/>
      <c r="I192" s="16" t="n"/>
      <c r="J192" s="16" t="n"/>
      <c r="K192" s="13" t="n"/>
      <c r="L192" s="13" t="n"/>
      <c r="M192" s="13" t="n"/>
    </row>
    <row r="193" ht="15.75" customHeight="1" s="19">
      <c r="G193" s="2">
        <f>IF(F193="","",SWITCH(F193,"Qualified",0.1,"Discovery",0.2,"Demo Booked",0.35,"Demo Completed",0.5,"Proposal",0.65,"Negotiation",0.8,"Closed Won",1,0))</f>
        <v/>
      </c>
      <c r="H193" s="16" t="n"/>
      <c r="I193" s="16" t="n"/>
      <c r="J193" s="16" t="n"/>
      <c r="K193" s="13" t="n"/>
      <c r="L193" s="13" t="n"/>
      <c r="M193" s="13" t="n"/>
    </row>
    <row r="194" ht="15.75" customHeight="1" s="19">
      <c r="G194" s="2">
        <f>IF(F194="","",SWITCH(F194,"Qualified",0.1,"Discovery",0.2,"Demo Booked",0.35,"Demo Completed",0.5,"Proposal",0.65,"Negotiation",0.8,"Closed Won",1,0))</f>
        <v/>
      </c>
      <c r="H194" s="16" t="n"/>
      <c r="I194" s="16" t="n"/>
      <c r="J194" s="16" t="n"/>
      <c r="K194" s="13" t="n"/>
      <c r="L194" s="13" t="n"/>
      <c r="M194" s="13" t="n"/>
    </row>
    <row r="195" ht="15.75" customHeight="1" s="19">
      <c r="G195" s="2">
        <f>IF(F195="","",SWITCH(F195,"Qualified",0.1,"Discovery",0.2,"Demo Booked",0.35,"Demo Completed",0.5,"Proposal",0.65,"Negotiation",0.8,"Closed Won",1,0))</f>
        <v/>
      </c>
      <c r="H195" s="16" t="n"/>
      <c r="I195" s="16" t="n"/>
      <c r="J195" s="16" t="n"/>
      <c r="K195" s="13" t="n"/>
      <c r="L195" s="13" t="n"/>
      <c r="M195" s="13" t="n"/>
    </row>
    <row r="196" ht="15.75" customHeight="1" s="19">
      <c r="G196" s="2">
        <f>IF(F196="","",SWITCH(F196,"Qualified",0.1,"Discovery",0.2,"Demo Booked",0.35,"Demo Completed",0.5,"Proposal",0.65,"Negotiation",0.8,"Closed Won",1,0))</f>
        <v/>
      </c>
      <c r="H196" s="16" t="n"/>
      <c r="I196" s="16" t="n"/>
      <c r="J196" s="16" t="n"/>
      <c r="K196" s="13" t="n"/>
      <c r="L196" s="13" t="n"/>
      <c r="M196" s="13" t="n"/>
    </row>
    <row r="197" ht="15.75" customHeight="1" s="19">
      <c r="G197" s="2">
        <f>IF(F197="","",SWITCH(F197,"Qualified",0.1,"Discovery",0.2,"Demo Booked",0.35,"Demo Completed",0.5,"Proposal",0.65,"Negotiation",0.8,"Closed Won",1,0))</f>
        <v/>
      </c>
      <c r="H197" s="16" t="n"/>
      <c r="I197" s="16" t="n"/>
      <c r="J197" s="16" t="n"/>
      <c r="K197" s="13" t="n"/>
      <c r="L197" s="13" t="n"/>
      <c r="M197" s="13" t="n"/>
    </row>
    <row r="198" ht="15.75" customHeight="1" s="19">
      <c r="G198" s="2">
        <f>IF(F198="","",SWITCH(F198,"Qualified",0.1,"Discovery",0.2,"Demo Booked",0.35,"Demo Completed",0.5,"Proposal",0.65,"Negotiation",0.8,"Closed Won",1,0))</f>
        <v/>
      </c>
      <c r="H198" s="16" t="n"/>
      <c r="I198" s="16" t="n"/>
      <c r="J198" s="16" t="n"/>
      <c r="K198" s="13" t="n"/>
      <c r="L198" s="13" t="n"/>
      <c r="M198" s="13" t="n"/>
    </row>
    <row r="199" ht="15.75" customHeight="1" s="19">
      <c r="G199" s="2">
        <f>IF(F199="","",SWITCH(F199,"Qualified",0.1,"Discovery",0.2,"Demo Booked",0.35,"Demo Completed",0.5,"Proposal",0.65,"Negotiation",0.8,"Closed Won",1,0))</f>
        <v/>
      </c>
      <c r="H199" s="16" t="n"/>
      <c r="I199" s="16" t="n"/>
      <c r="J199" s="16" t="n"/>
      <c r="K199" s="13" t="n"/>
      <c r="L199" s="13" t="n"/>
      <c r="M199" s="13" t="n"/>
    </row>
    <row r="200" ht="15.75" customHeight="1" s="19">
      <c r="G200" s="2">
        <f>IF(F200="","",SWITCH(F200,"Qualified",0.1,"Discovery",0.2,"Demo Booked",0.35,"Demo Completed",0.5,"Proposal",0.65,"Negotiation",0.8,"Closed Won",1,0))</f>
        <v/>
      </c>
      <c r="H200" s="16" t="n"/>
      <c r="I200" s="16" t="n"/>
      <c r="J200" s="16" t="n"/>
      <c r="K200" s="13" t="n"/>
      <c r="L200" s="13" t="n"/>
      <c r="M200" s="13" t="n"/>
    </row>
    <row r="201" ht="15.75" customHeight="1" s="19">
      <c r="G201" s="2">
        <f>IF(F201="","",SWITCH(F201,"Qualified",0.1,"Discovery",0.2,"Demo Booked",0.35,"Demo Completed",0.5,"Proposal",0.65,"Negotiation",0.8,"Closed Won",1,0))</f>
        <v/>
      </c>
      <c r="H201" s="16" t="n"/>
      <c r="I201" s="16" t="n"/>
      <c r="J201" s="16" t="n"/>
      <c r="K201" s="13" t="n"/>
      <c r="L201" s="13" t="n"/>
      <c r="M201" s="13" t="n"/>
    </row>
    <row r="202" ht="15.75" customHeight="1" s="19">
      <c r="G202" s="2">
        <f>IF(F202="","",SWITCH(F202,"Qualified",0.1,"Discovery",0.2,"Demo Booked",0.35,"Demo Completed",0.5,"Proposal",0.65,"Negotiation",0.8,"Closed Won",1,0))</f>
        <v/>
      </c>
      <c r="H202" s="16" t="n"/>
      <c r="I202" s="16" t="n"/>
      <c r="J202" s="16" t="n"/>
      <c r="K202" s="13" t="n"/>
      <c r="L202" s="13" t="n"/>
      <c r="M202" s="13" t="n"/>
    </row>
    <row r="203" ht="15.75" customHeight="1" s="19">
      <c r="G203" s="2">
        <f>IF(F203="","",SWITCH(F203,"Qualified",0.1,"Discovery",0.2,"Demo Booked",0.35,"Demo Completed",0.5,"Proposal",0.65,"Negotiation",0.8,"Closed Won",1,0))</f>
        <v/>
      </c>
      <c r="H203" s="16" t="n"/>
      <c r="I203" s="16" t="n"/>
      <c r="J203" s="16" t="n"/>
      <c r="K203" s="13" t="n"/>
      <c r="L203" s="13" t="n"/>
      <c r="M203" s="13" t="n"/>
    </row>
    <row r="204" ht="15.75" customHeight="1" s="19">
      <c r="G204" s="2">
        <f>IF(F204="","",SWITCH(F204,"Qualified",0.1,"Discovery",0.2,"Demo Booked",0.35,"Demo Completed",0.5,"Proposal",0.65,"Negotiation",0.8,"Closed Won",1,0))</f>
        <v/>
      </c>
      <c r="H204" s="16" t="n"/>
      <c r="I204" s="16" t="n"/>
      <c r="J204" s="16" t="n"/>
      <c r="K204" s="13" t="n"/>
      <c r="L204" s="13" t="n"/>
      <c r="M204" s="13" t="n"/>
    </row>
    <row r="205" ht="15.75" customHeight="1" s="19">
      <c r="G205" s="2">
        <f>IF(F205="","",SWITCH(F205,"Qualified",0.1,"Discovery",0.2,"Demo Booked",0.35,"Demo Completed",0.5,"Proposal",0.65,"Negotiation",0.8,"Closed Won",1,0))</f>
        <v/>
      </c>
      <c r="H205" s="16" t="n"/>
      <c r="I205" s="16" t="n"/>
      <c r="J205" s="16" t="n"/>
      <c r="K205" s="13" t="n"/>
      <c r="L205" s="13" t="n"/>
      <c r="M205" s="13" t="n"/>
    </row>
    <row r="206" ht="15.75" customHeight="1" s="19">
      <c r="G206" s="2">
        <f>IF(F206="","",SWITCH(F206,"Qualified",0.1,"Discovery",0.2,"Demo Booked",0.35,"Demo Completed",0.5,"Proposal",0.65,"Negotiation",0.8,"Closed Won",1,0))</f>
        <v/>
      </c>
      <c r="H206" s="16" t="n"/>
      <c r="I206" s="16" t="n"/>
      <c r="J206" s="16" t="n"/>
      <c r="K206" s="13" t="n"/>
      <c r="L206" s="13" t="n"/>
      <c r="M206" s="13" t="n"/>
    </row>
    <row r="207" ht="15.75" customHeight="1" s="19">
      <c r="G207" s="2">
        <f>IF(F207="","",SWITCH(F207,"Qualified",0.1,"Discovery",0.2,"Demo Booked",0.35,"Demo Completed",0.5,"Proposal",0.65,"Negotiation",0.8,"Closed Won",1,0))</f>
        <v/>
      </c>
      <c r="H207" s="16" t="n"/>
      <c r="I207" s="16" t="n"/>
      <c r="J207" s="16" t="n"/>
      <c r="K207" s="13" t="n"/>
      <c r="L207" s="13" t="n"/>
      <c r="M207" s="13" t="n"/>
    </row>
    <row r="208" ht="15.75" customHeight="1" s="19">
      <c r="G208" s="2">
        <f>IF(F208="","",SWITCH(F208,"Qualified",0.1,"Discovery",0.2,"Demo Booked",0.35,"Demo Completed",0.5,"Proposal",0.65,"Negotiation",0.8,"Closed Won",1,0))</f>
        <v/>
      </c>
      <c r="H208" s="16" t="n"/>
      <c r="I208" s="16" t="n"/>
      <c r="J208" s="16" t="n"/>
      <c r="K208" s="13" t="n"/>
      <c r="L208" s="13" t="n"/>
      <c r="M208" s="13" t="n"/>
    </row>
    <row r="209" ht="15.75" customHeight="1" s="19">
      <c r="G209" s="2">
        <f>IF(F209="","",SWITCH(F209,"Qualified",0.1,"Discovery",0.2,"Demo Booked",0.35,"Demo Completed",0.5,"Proposal",0.65,"Negotiation",0.8,"Closed Won",1,0))</f>
        <v/>
      </c>
      <c r="H209" s="16" t="n"/>
      <c r="I209" s="16" t="n"/>
      <c r="J209" s="16" t="n"/>
      <c r="K209" s="13" t="n"/>
      <c r="L209" s="13" t="n"/>
      <c r="M209" s="13" t="n"/>
    </row>
    <row r="210" ht="15.75" customHeight="1" s="19">
      <c r="G210" s="2">
        <f>IF(F210="","",SWITCH(F210,"Qualified",0.1,"Discovery",0.2,"Demo Booked",0.35,"Demo Completed",0.5,"Proposal",0.65,"Negotiation",0.8,"Closed Won",1,0))</f>
        <v/>
      </c>
      <c r="H210" s="16" t="n"/>
      <c r="I210" s="16" t="n"/>
      <c r="J210" s="16" t="n"/>
      <c r="K210" s="13" t="n"/>
      <c r="L210" s="13" t="n"/>
      <c r="M210" s="13" t="n"/>
    </row>
    <row r="211" ht="15.75" customHeight="1" s="19">
      <c r="G211" s="2">
        <f>IF(F211="","",SWITCH(F211,"Qualified",0.1,"Discovery",0.2,"Demo Booked",0.35,"Demo Completed",0.5,"Proposal",0.65,"Negotiation",0.8,"Closed Won",1,0))</f>
        <v/>
      </c>
      <c r="H211" s="16" t="n"/>
      <c r="I211" s="16" t="n"/>
      <c r="J211" s="16" t="n"/>
      <c r="K211" s="13" t="n"/>
      <c r="L211" s="13" t="n"/>
      <c r="M211" s="13" t="n"/>
    </row>
    <row r="212" ht="15.75" customHeight="1" s="19">
      <c r="G212" s="2">
        <f>IF(F212="","",SWITCH(F212,"Qualified",0.1,"Discovery",0.2,"Demo Booked",0.35,"Demo Completed",0.5,"Proposal",0.65,"Negotiation",0.8,"Closed Won",1,0))</f>
        <v/>
      </c>
      <c r="H212" s="16" t="n"/>
      <c r="I212" s="16" t="n"/>
      <c r="J212" s="16" t="n"/>
      <c r="K212" s="13" t="n"/>
      <c r="L212" s="13" t="n"/>
      <c r="M212" s="13" t="n"/>
    </row>
    <row r="213" ht="15.75" customHeight="1" s="19">
      <c r="G213" s="2">
        <f>IF(F213="","",SWITCH(F213,"Qualified",0.1,"Discovery",0.2,"Demo Booked",0.35,"Demo Completed",0.5,"Proposal",0.65,"Negotiation",0.8,"Closed Won",1,0))</f>
        <v/>
      </c>
      <c r="H213" s="16" t="n"/>
      <c r="I213" s="16" t="n"/>
      <c r="J213" s="16" t="n"/>
      <c r="K213" s="13" t="n"/>
      <c r="L213" s="13" t="n"/>
      <c r="M213" s="13" t="n"/>
    </row>
    <row r="214" ht="15.75" customHeight="1" s="19">
      <c r="G214" s="2">
        <f>IF(F214="","",SWITCH(F214,"Qualified",0.1,"Discovery",0.2,"Demo Booked",0.35,"Demo Completed",0.5,"Proposal",0.65,"Negotiation",0.8,"Closed Won",1,0))</f>
        <v/>
      </c>
      <c r="H214" s="16" t="n"/>
      <c r="I214" s="16" t="n"/>
      <c r="J214" s="16" t="n"/>
      <c r="K214" s="13" t="n"/>
      <c r="L214" s="13" t="n"/>
      <c r="M214" s="13" t="n"/>
    </row>
    <row r="215" ht="15.75" customHeight="1" s="19">
      <c r="G215" s="2">
        <f>IF(F215="","",SWITCH(F215,"Qualified",0.1,"Discovery",0.2,"Demo Booked",0.35,"Demo Completed",0.5,"Proposal",0.65,"Negotiation",0.8,"Closed Won",1,0))</f>
        <v/>
      </c>
      <c r="H215" s="16" t="n"/>
      <c r="I215" s="16" t="n"/>
      <c r="J215" s="16" t="n"/>
      <c r="K215" s="13" t="n"/>
      <c r="L215" s="13" t="n"/>
      <c r="M215" s="13" t="n"/>
    </row>
    <row r="216" ht="15.75" customHeight="1" s="19">
      <c r="G216" s="2">
        <f>IF(F216="","",SWITCH(F216,"Qualified",0.1,"Discovery",0.2,"Demo Booked",0.35,"Demo Completed",0.5,"Proposal",0.65,"Negotiation",0.8,"Closed Won",1,0))</f>
        <v/>
      </c>
      <c r="H216" s="16" t="n"/>
      <c r="I216" s="16" t="n"/>
      <c r="J216" s="16" t="n"/>
      <c r="K216" s="13" t="n"/>
      <c r="L216" s="13" t="n"/>
      <c r="M216" s="13" t="n"/>
    </row>
    <row r="217" ht="15.75" customHeight="1" s="19">
      <c r="G217" s="2">
        <f>IF(F217="","",SWITCH(F217,"Qualified",0.1,"Discovery",0.2,"Demo Booked",0.35,"Demo Completed",0.5,"Proposal",0.65,"Negotiation",0.8,"Closed Won",1,0))</f>
        <v/>
      </c>
      <c r="H217" s="16" t="n"/>
      <c r="I217" s="16" t="n"/>
      <c r="J217" s="16" t="n"/>
      <c r="K217" s="13" t="n"/>
      <c r="L217" s="13" t="n"/>
      <c r="M217" s="13" t="n"/>
    </row>
    <row r="218" ht="15.75" customHeight="1" s="19">
      <c r="G218" s="2">
        <f>IF(F218="","",SWITCH(F218,"Qualified",0.1,"Discovery",0.2,"Demo Booked",0.35,"Demo Completed",0.5,"Proposal",0.65,"Negotiation",0.8,"Closed Won",1,0))</f>
        <v/>
      </c>
      <c r="H218" s="16" t="n"/>
      <c r="I218" s="16" t="n"/>
      <c r="J218" s="16" t="n"/>
      <c r="K218" s="13" t="n"/>
      <c r="L218" s="13" t="n"/>
      <c r="M218" s="13" t="n"/>
    </row>
    <row r="219" ht="15.75" customHeight="1" s="19">
      <c r="G219" s="2">
        <f>IF(F219="","",SWITCH(F219,"Qualified",0.1,"Discovery",0.2,"Demo Booked",0.35,"Demo Completed",0.5,"Proposal",0.65,"Negotiation",0.8,"Closed Won",1,0))</f>
        <v/>
      </c>
      <c r="H219" s="16" t="n"/>
      <c r="I219" s="16" t="n"/>
      <c r="J219" s="16" t="n"/>
      <c r="K219" s="13" t="n"/>
      <c r="L219" s="13" t="n"/>
      <c r="M219" s="13" t="n"/>
    </row>
    <row r="220" ht="15.75" customHeight="1" s="19">
      <c r="G220" s="2">
        <f>IF(F220="","",SWITCH(F220,"Qualified",0.1,"Discovery",0.2,"Demo Booked",0.35,"Demo Completed",0.5,"Proposal",0.65,"Negotiation",0.8,"Closed Won",1,0))</f>
        <v/>
      </c>
      <c r="H220" s="16" t="n"/>
      <c r="I220" s="16" t="n"/>
      <c r="J220" s="16" t="n"/>
      <c r="K220" s="13" t="n"/>
      <c r="L220" s="13" t="n"/>
      <c r="M220" s="13" t="n"/>
    </row>
    <row r="221" ht="15.75" customHeight="1" s="19">
      <c r="G221" s="2">
        <f>IF(F221="","",SWITCH(F221,"Qualified",0.1,"Discovery",0.2,"Demo Booked",0.35,"Demo Completed",0.5,"Proposal",0.65,"Negotiation",0.8,"Closed Won",1,0))</f>
        <v/>
      </c>
      <c r="H221" s="16" t="n"/>
      <c r="I221" s="16" t="n"/>
      <c r="J221" s="16" t="n"/>
      <c r="K221" s="13" t="n"/>
      <c r="L221" s="13" t="n"/>
      <c r="M221" s="13" t="n"/>
    </row>
    <row r="222" ht="15.75" customHeight="1" s="19">
      <c r="G222" s="2">
        <f>IF(F222="","",SWITCH(F222,"Qualified",0.1,"Discovery",0.2,"Demo Booked",0.35,"Demo Completed",0.5,"Proposal",0.65,"Negotiation",0.8,"Closed Won",1,0))</f>
        <v/>
      </c>
      <c r="H222" s="16" t="n"/>
      <c r="I222" s="16" t="n"/>
      <c r="J222" s="16" t="n"/>
      <c r="K222" s="13" t="n"/>
      <c r="L222" s="13" t="n"/>
      <c r="M222" s="13" t="n"/>
    </row>
    <row r="223" ht="15.75" customHeight="1" s="19">
      <c r="G223" s="2">
        <f>IF(F223="","",SWITCH(F223,"Qualified",0.1,"Discovery",0.2,"Demo Booked",0.35,"Demo Completed",0.5,"Proposal",0.65,"Negotiation",0.8,"Closed Won",1,0))</f>
        <v/>
      </c>
      <c r="H223" s="16" t="n"/>
      <c r="I223" s="16" t="n"/>
      <c r="J223" s="16" t="n"/>
      <c r="K223" s="13" t="n"/>
      <c r="L223" s="13" t="n"/>
      <c r="M223" s="13" t="n"/>
    </row>
    <row r="224" ht="15.75" customHeight="1" s="19">
      <c r="G224" s="2">
        <f>IF(F224="","",SWITCH(F224,"Qualified",0.1,"Discovery",0.2,"Demo Booked",0.35,"Demo Completed",0.5,"Proposal",0.65,"Negotiation",0.8,"Closed Won",1,0))</f>
        <v/>
      </c>
      <c r="H224" s="16" t="n"/>
      <c r="I224" s="16" t="n"/>
      <c r="J224" s="16" t="n"/>
      <c r="K224" s="13" t="n"/>
      <c r="L224" s="13" t="n"/>
      <c r="M224" s="13" t="n"/>
    </row>
    <row r="225" ht="15.75" customHeight="1" s="19">
      <c r="G225" s="2">
        <f>IF(F225="","",SWITCH(F225,"Qualified",0.1,"Discovery",0.2,"Demo Booked",0.35,"Demo Completed",0.5,"Proposal",0.65,"Negotiation",0.8,"Closed Won",1,0))</f>
        <v/>
      </c>
      <c r="H225" s="16" t="n"/>
      <c r="I225" s="16" t="n"/>
      <c r="J225" s="16" t="n"/>
      <c r="K225" s="13" t="n"/>
      <c r="L225" s="13" t="n"/>
      <c r="M225" s="13" t="n"/>
    </row>
    <row r="226" ht="15.75" customHeight="1" s="19">
      <c r="G226" s="2">
        <f>IF(F226="","",SWITCH(F226,"Qualified",0.1,"Discovery",0.2,"Demo Booked",0.35,"Demo Completed",0.5,"Proposal",0.65,"Negotiation",0.8,"Closed Won",1,0))</f>
        <v/>
      </c>
      <c r="H226" s="16" t="n"/>
      <c r="I226" s="16" t="n"/>
      <c r="J226" s="16" t="n"/>
      <c r="K226" s="13" t="n"/>
      <c r="L226" s="13" t="n"/>
      <c r="M226" s="13" t="n"/>
    </row>
    <row r="227" ht="15.75" customHeight="1" s="19">
      <c r="G227" s="2">
        <f>IF(F227="","",SWITCH(F227,"Qualified",0.1,"Discovery",0.2,"Demo Booked",0.35,"Demo Completed",0.5,"Proposal",0.65,"Negotiation",0.8,"Closed Won",1,0))</f>
        <v/>
      </c>
      <c r="H227" s="16" t="n"/>
      <c r="I227" s="16" t="n"/>
      <c r="J227" s="16" t="n"/>
      <c r="K227" s="13" t="n"/>
      <c r="L227" s="13" t="n"/>
      <c r="M227" s="13" t="n"/>
    </row>
    <row r="228" ht="15.75" customHeight="1" s="19">
      <c r="G228" s="2">
        <f>IF(F228="","",SWITCH(F228,"Qualified",0.1,"Discovery",0.2,"Demo Booked",0.35,"Demo Completed",0.5,"Proposal",0.65,"Negotiation",0.8,"Closed Won",1,0))</f>
        <v/>
      </c>
      <c r="H228" s="16" t="n"/>
      <c r="I228" s="16" t="n"/>
      <c r="J228" s="16" t="n"/>
      <c r="K228" s="13" t="n"/>
      <c r="L228" s="13" t="n"/>
      <c r="M228" s="13" t="n"/>
    </row>
    <row r="229" ht="15.75" customHeight="1" s="19">
      <c r="G229" s="2">
        <f>IF(F229="","",SWITCH(F229,"Qualified",0.1,"Discovery",0.2,"Demo Booked",0.35,"Demo Completed",0.5,"Proposal",0.65,"Negotiation",0.8,"Closed Won",1,0))</f>
        <v/>
      </c>
      <c r="H229" s="16" t="n"/>
      <c r="I229" s="16" t="n"/>
      <c r="J229" s="16" t="n"/>
      <c r="K229" s="13" t="n"/>
      <c r="L229" s="13" t="n"/>
      <c r="M229" s="13" t="n"/>
    </row>
    <row r="230" ht="15.75" customHeight="1" s="19">
      <c r="G230" s="2">
        <f>IF(F230="","",SWITCH(F230,"Qualified",0.1,"Discovery",0.2,"Demo Booked",0.35,"Demo Completed",0.5,"Proposal",0.65,"Negotiation",0.8,"Closed Won",1,0))</f>
        <v/>
      </c>
      <c r="H230" s="16" t="n"/>
      <c r="I230" s="16" t="n"/>
      <c r="J230" s="16" t="n"/>
      <c r="K230" s="13" t="n"/>
      <c r="L230" s="13" t="n"/>
      <c r="M230" s="13" t="n"/>
    </row>
    <row r="231" ht="15.75" customHeight="1" s="19">
      <c r="G231" s="2">
        <f>IF(F231="","",SWITCH(F231,"Qualified",0.1,"Discovery",0.2,"Demo Booked",0.35,"Demo Completed",0.5,"Proposal",0.65,"Negotiation",0.8,"Closed Won",1,0))</f>
        <v/>
      </c>
      <c r="H231" s="16" t="n"/>
      <c r="I231" s="16" t="n"/>
      <c r="J231" s="16" t="n"/>
      <c r="K231" s="13" t="n"/>
      <c r="L231" s="13" t="n"/>
      <c r="M231" s="13" t="n"/>
    </row>
    <row r="232" ht="15.75" customHeight="1" s="19">
      <c r="G232" s="2">
        <f>IF(F232="","",SWITCH(F232,"Qualified",0.1,"Discovery",0.2,"Demo Booked",0.35,"Demo Completed",0.5,"Proposal",0.65,"Negotiation",0.8,"Closed Won",1,0))</f>
        <v/>
      </c>
      <c r="H232" s="16" t="n"/>
      <c r="I232" s="16" t="n"/>
      <c r="J232" s="16" t="n"/>
      <c r="K232" s="13" t="n"/>
      <c r="L232" s="13" t="n"/>
      <c r="M232" s="13" t="n"/>
    </row>
    <row r="233" ht="15.75" customHeight="1" s="19">
      <c r="G233" s="2">
        <f>IF(F233="","",SWITCH(F233,"Qualified",0.1,"Discovery",0.2,"Demo Booked",0.35,"Demo Completed",0.5,"Proposal",0.65,"Negotiation",0.8,"Closed Won",1,0))</f>
        <v/>
      </c>
      <c r="H233" s="16" t="n"/>
      <c r="I233" s="16" t="n"/>
      <c r="J233" s="16" t="n"/>
      <c r="K233" s="13" t="n"/>
      <c r="L233" s="13" t="n"/>
      <c r="M233" s="13" t="n"/>
    </row>
    <row r="234" ht="15.75" customHeight="1" s="19">
      <c r="G234" s="2">
        <f>IF(F234="","",SWITCH(F234,"Qualified",0.1,"Discovery",0.2,"Demo Booked",0.35,"Demo Completed",0.5,"Proposal",0.65,"Negotiation",0.8,"Closed Won",1,0))</f>
        <v/>
      </c>
      <c r="H234" s="16" t="n"/>
      <c r="I234" s="16" t="n"/>
      <c r="J234" s="16" t="n"/>
      <c r="K234" s="13" t="n"/>
      <c r="L234" s="13" t="n"/>
      <c r="M234" s="13" t="n"/>
    </row>
    <row r="235" ht="15.75" customHeight="1" s="19">
      <c r="G235" s="2">
        <f>IF(F235="","",SWITCH(F235,"Qualified",0.1,"Discovery",0.2,"Demo Booked",0.35,"Demo Completed",0.5,"Proposal",0.65,"Negotiation",0.8,"Closed Won",1,0))</f>
        <v/>
      </c>
      <c r="H235" s="16" t="n"/>
      <c r="I235" s="16" t="n"/>
      <c r="J235" s="16" t="n"/>
      <c r="K235" s="13" t="n"/>
      <c r="L235" s="13" t="n"/>
      <c r="M235" s="13" t="n"/>
    </row>
    <row r="236" ht="15.75" customHeight="1" s="19">
      <c r="G236" s="2">
        <f>IF(F236="","",SWITCH(F236,"Qualified",0.1,"Discovery",0.2,"Demo Booked",0.35,"Demo Completed",0.5,"Proposal",0.65,"Negotiation",0.8,"Closed Won",1,0))</f>
        <v/>
      </c>
      <c r="H236" s="16" t="n"/>
      <c r="I236" s="16" t="n"/>
      <c r="J236" s="16" t="n"/>
      <c r="K236" s="13" t="n"/>
      <c r="L236" s="13" t="n"/>
      <c r="M236" s="13" t="n"/>
    </row>
    <row r="237" ht="15.75" customHeight="1" s="19">
      <c r="G237" s="2">
        <f>IF(F237="","",SWITCH(F237,"Qualified",0.1,"Discovery",0.2,"Demo Booked",0.35,"Demo Completed",0.5,"Proposal",0.65,"Negotiation",0.8,"Closed Won",1,0))</f>
        <v/>
      </c>
      <c r="H237" s="16" t="n"/>
      <c r="I237" s="16" t="n"/>
      <c r="J237" s="16" t="n"/>
      <c r="K237" s="13" t="n"/>
      <c r="L237" s="13" t="n"/>
      <c r="M237" s="13" t="n"/>
    </row>
    <row r="238" ht="15.75" customHeight="1" s="19">
      <c r="G238" s="2">
        <f>IF(F238="","",SWITCH(F238,"Qualified",0.1,"Discovery",0.2,"Demo Booked",0.35,"Demo Completed",0.5,"Proposal",0.65,"Negotiation",0.8,"Closed Won",1,0))</f>
        <v/>
      </c>
      <c r="H238" s="16" t="n"/>
      <c r="I238" s="16" t="n"/>
      <c r="J238" s="16" t="n"/>
      <c r="K238" s="13" t="n"/>
      <c r="L238" s="13" t="n"/>
      <c r="M238" s="13" t="n"/>
    </row>
    <row r="239" ht="15.75" customHeight="1" s="19">
      <c r="G239" s="2">
        <f>IF(F239="","",SWITCH(F239,"Qualified",0.1,"Discovery",0.2,"Demo Booked",0.35,"Demo Completed",0.5,"Proposal",0.65,"Negotiation",0.8,"Closed Won",1,0))</f>
        <v/>
      </c>
      <c r="H239" s="16" t="n"/>
      <c r="I239" s="16" t="n"/>
      <c r="J239" s="16" t="n"/>
      <c r="K239" s="13" t="n"/>
      <c r="L239" s="13" t="n"/>
      <c r="M239" s="13" t="n"/>
    </row>
    <row r="240" ht="15.75" customHeight="1" s="19">
      <c r="G240" s="2">
        <f>IF(F240="","",SWITCH(F240,"Qualified",0.1,"Discovery",0.2,"Demo Booked",0.35,"Demo Completed",0.5,"Proposal",0.65,"Negotiation",0.8,"Closed Won",1,0))</f>
        <v/>
      </c>
      <c r="H240" s="16" t="n"/>
      <c r="I240" s="16" t="n"/>
      <c r="J240" s="16" t="n"/>
      <c r="K240" s="13" t="n"/>
      <c r="L240" s="13" t="n"/>
      <c r="M240" s="13" t="n"/>
    </row>
    <row r="241" ht="15.75" customHeight="1" s="19">
      <c r="G241" s="2">
        <f>IF(F241="","",SWITCH(F241,"Qualified",0.1,"Discovery",0.2,"Demo Booked",0.35,"Demo Completed",0.5,"Proposal",0.65,"Negotiation",0.8,"Closed Won",1,0))</f>
        <v/>
      </c>
      <c r="H241" s="16" t="n"/>
      <c r="I241" s="16" t="n"/>
      <c r="J241" s="16" t="n"/>
      <c r="K241" s="13" t="n"/>
      <c r="L241" s="13" t="n"/>
      <c r="M241" s="13" t="n"/>
    </row>
    <row r="242" ht="15.75" customHeight="1" s="19">
      <c r="G242" s="2">
        <f>IF(F242="","",SWITCH(F242,"Qualified",0.1,"Discovery",0.2,"Demo Booked",0.35,"Demo Completed",0.5,"Proposal",0.65,"Negotiation",0.8,"Closed Won",1,0))</f>
        <v/>
      </c>
      <c r="H242" s="16" t="n"/>
      <c r="I242" s="16" t="n"/>
      <c r="J242" s="16" t="n"/>
      <c r="K242" s="13" t="n"/>
      <c r="L242" s="13" t="n"/>
      <c r="M242" s="13" t="n"/>
    </row>
    <row r="243" ht="15.75" customHeight="1" s="19">
      <c r="G243" s="2">
        <f>IF(F243="","",SWITCH(F243,"Qualified",0.1,"Discovery",0.2,"Demo Booked",0.35,"Demo Completed",0.5,"Proposal",0.65,"Negotiation",0.8,"Closed Won",1,0))</f>
        <v/>
      </c>
      <c r="H243" s="16" t="n"/>
      <c r="I243" s="16" t="n"/>
      <c r="J243" s="16" t="n"/>
      <c r="K243" s="13" t="n"/>
      <c r="L243" s="13" t="n"/>
      <c r="M243" s="13" t="n"/>
    </row>
    <row r="244" ht="15.75" customHeight="1" s="19">
      <c r="G244" s="2">
        <f>IF(F244="","",SWITCH(F244,"Qualified",0.1,"Discovery",0.2,"Demo Booked",0.35,"Demo Completed",0.5,"Proposal",0.65,"Negotiation",0.8,"Closed Won",1,0))</f>
        <v/>
      </c>
      <c r="H244" s="16" t="n"/>
      <c r="I244" s="16" t="n"/>
      <c r="J244" s="16" t="n"/>
      <c r="K244" s="13" t="n"/>
      <c r="L244" s="13" t="n"/>
      <c r="M244" s="13" t="n"/>
    </row>
    <row r="245" ht="15.75" customHeight="1" s="19">
      <c r="G245" s="2">
        <f>IF(F245="","",SWITCH(F245,"Qualified",0.1,"Discovery",0.2,"Demo Booked",0.35,"Demo Completed",0.5,"Proposal",0.65,"Negotiation",0.8,"Closed Won",1,0))</f>
        <v/>
      </c>
      <c r="H245" s="16" t="n"/>
      <c r="I245" s="16" t="n"/>
      <c r="J245" s="16" t="n"/>
      <c r="K245" s="13" t="n"/>
      <c r="L245" s="13" t="n"/>
      <c r="M245" s="13" t="n"/>
    </row>
    <row r="246" ht="15.75" customHeight="1" s="19">
      <c r="G246" s="2">
        <f>IF(F246="","",SWITCH(F246,"Qualified",0.1,"Discovery",0.2,"Demo Booked",0.35,"Demo Completed",0.5,"Proposal",0.65,"Negotiation",0.8,"Closed Won",1,0))</f>
        <v/>
      </c>
      <c r="H246" s="16" t="n"/>
      <c r="I246" s="16" t="n"/>
      <c r="J246" s="16" t="n"/>
      <c r="K246" s="13" t="n"/>
      <c r="L246" s="13" t="n"/>
      <c r="M246" s="13" t="n"/>
    </row>
    <row r="247" ht="15.75" customHeight="1" s="19">
      <c r="G247" s="2">
        <f>IF(F247="","",SWITCH(F247,"Qualified",0.1,"Discovery",0.2,"Demo Booked",0.35,"Demo Completed",0.5,"Proposal",0.65,"Negotiation",0.8,"Closed Won",1,0))</f>
        <v/>
      </c>
      <c r="H247" s="16" t="n"/>
      <c r="I247" s="16" t="n"/>
      <c r="J247" s="16" t="n"/>
      <c r="K247" s="13" t="n"/>
      <c r="L247" s="13" t="n"/>
      <c r="M247" s="13" t="n"/>
    </row>
    <row r="248" ht="15.75" customHeight="1" s="19">
      <c r="G248" s="2">
        <f>IF(F248="","",SWITCH(F248,"Qualified",0.1,"Discovery",0.2,"Demo Booked",0.35,"Demo Completed",0.5,"Proposal",0.65,"Negotiation",0.8,"Closed Won",1,0))</f>
        <v/>
      </c>
      <c r="H248" s="16" t="n"/>
      <c r="I248" s="16" t="n"/>
      <c r="J248" s="16" t="n"/>
      <c r="K248" s="13" t="n"/>
      <c r="L248" s="13" t="n"/>
      <c r="M248" s="13" t="n"/>
    </row>
    <row r="249" ht="15.75" customHeight="1" s="19">
      <c r="G249" s="2">
        <f>IF(F249="","",SWITCH(F249,"Qualified",0.1,"Discovery",0.2,"Demo Booked",0.35,"Demo Completed",0.5,"Proposal",0.65,"Negotiation",0.8,"Closed Won",1,0))</f>
        <v/>
      </c>
      <c r="H249" s="16" t="n"/>
      <c r="I249" s="16" t="n"/>
      <c r="J249" s="16" t="n"/>
      <c r="K249" s="13" t="n"/>
      <c r="L249" s="13" t="n"/>
      <c r="M249" s="13" t="n"/>
    </row>
    <row r="250" ht="15.75" customHeight="1" s="19">
      <c r="G250" s="2">
        <f>IF(F250="","",SWITCH(F250,"Qualified",0.1,"Discovery",0.2,"Demo Booked",0.35,"Demo Completed",0.5,"Proposal",0.65,"Negotiation",0.8,"Closed Won",1,0))</f>
        <v/>
      </c>
      <c r="H250" s="16" t="n"/>
      <c r="I250" s="16" t="n"/>
      <c r="J250" s="16" t="n"/>
      <c r="K250" s="13" t="n"/>
      <c r="L250" s="13" t="n"/>
      <c r="M250" s="13" t="n"/>
    </row>
    <row r="251" ht="15.75" customHeight="1" s="19">
      <c r="G251" s="2">
        <f>IF(F251="","",SWITCH(F251,"Qualified",0.1,"Discovery",0.2,"Demo Booked",0.35,"Demo Completed",0.5,"Proposal",0.65,"Negotiation",0.8,"Closed Won",1,0))</f>
        <v/>
      </c>
      <c r="H251" s="16" t="n"/>
      <c r="I251" s="16" t="n"/>
      <c r="J251" s="16" t="n"/>
      <c r="K251" s="13" t="n"/>
      <c r="L251" s="13" t="n"/>
      <c r="M251" s="13" t="n"/>
    </row>
    <row r="252" ht="15.75" customHeight="1" s="19">
      <c r="G252" s="2">
        <f>IF(F252="","",SWITCH(F252,"Qualified",0.1,"Discovery",0.2,"Demo Booked",0.35,"Demo Completed",0.5,"Proposal",0.65,"Negotiation",0.8,"Closed Won",1,0))</f>
        <v/>
      </c>
      <c r="H252" s="16" t="n"/>
      <c r="I252" s="16" t="n"/>
      <c r="J252" s="16" t="n"/>
      <c r="K252" s="13" t="n"/>
      <c r="L252" s="13" t="n"/>
      <c r="M252" s="13" t="n"/>
    </row>
    <row r="253" ht="15.75" customHeight="1" s="19">
      <c r="G253" s="2">
        <f>IF(F253="","",SWITCH(F253,"Qualified",0.1,"Discovery",0.2,"Demo Booked",0.35,"Demo Completed",0.5,"Proposal",0.65,"Negotiation",0.8,"Closed Won",1,0))</f>
        <v/>
      </c>
      <c r="H253" s="16" t="n"/>
      <c r="I253" s="16" t="n"/>
      <c r="J253" s="16" t="n"/>
      <c r="K253" s="13" t="n"/>
      <c r="L253" s="13" t="n"/>
      <c r="M253" s="13" t="n"/>
    </row>
    <row r="254" ht="15.75" customHeight="1" s="19">
      <c r="G254" s="2">
        <f>IF(F254="","",SWITCH(F254,"Qualified",0.1,"Discovery",0.2,"Demo Booked",0.35,"Demo Completed",0.5,"Proposal",0.65,"Negotiation",0.8,"Closed Won",1,0))</f>
        <v/>
      </c>
      <c r="H254" s="16" t="n"/>
      <c r="I254" s="16" t="n"/>
      <c r="J254" s="16" t="n"/>
      <c r="K254" s="13" t="n"/>
      <c r="L254" s="13" t="n"/>
      <c r="M254" s="13" t="n"/>
    </row>
    <row r="255" ht="15.75" customHeight="1" s="19">
      <c r="G255" s="2">
        <f>IF(F255="","",SWITCH(F255,"Qualified",0.1,"Discovery",0.2,"Demo Booked",0.35,"Demo Completed",0.5,"Proposal",0.65,"Negotiation",0.8,"Closed Won",1,0))</f>
        <v/>
      </c>
      <c r="H255" s="16" t="n"/>
      <c r="I255" s="16" t="n"/>
      <c r="J255" s="16" t="n"/>
      <c r="K255" s="13" t="n"/>
      <c r="L255" s="13" t="n"/>
      <c r="M255" s="13" t="n"/>
    </row>
    <row r="256" ht="15.75" customHeight="1" s="19">
      <c r="G256" s="2">
        <f>IF(F256="","",SWITCH(F256,"Qualified",0.1,"Discovery",0.2,"Demo Booked",0.35,"Demo Completed",0.5,"Proposal",0.65,"Negotiation",0.8,"Closed Won",1,0))</f>
        <v/>
      </c>
      <c r="H256" s="16" t="n"/>
      <c r="I256" s="16" t="n"/>
      <c r="J256" s="16" t="n"/>
      <c r="K256" s="13" t="n"/>
      <c r="L256" s="13" t="n"/>
      <c r="M256" s="13" t="n"/>
    </row>
    <row r="257" ht="15.75" customHeight="1" s="19">
      <c r="G257" s="2">
        <f>IF(F257="","",SWITCH(F257,"Qualified",0.1,"Discovery",0.2,"Demo Booked",0.35,"Demo Completed",0.5,"Proposal",0.65,"Negotiation",0.8,"Closed Won",1,0))</f>
        <v/>
      </c>
      <c r="H257" s="16" t="n"/>
      <c r="I257" s="16" t="n"/>
      <c r="J257" s="16" t="n"/>
      <c r="K257" s="13" t="n"/>
      <c r="L257" s="13" t="n"/>
      <c r="M257" s="13" t="n"/>
    </row>
    <row r="258" ht="15.75" customHeight="1" s="19">
      <c r="G258" s="2">
        <f>IF(F258="","",SWITCH(F258,"Qualified",0.1,"Discovery",0.2,"Demo Booked",0.35,"Demo Completed",0.5,"Proposal",0.65,"Negotiation",0.8,"Closed Won",1,0))</f>
        <v/>
      </c>
      <c r="H258" s="16" t="n"/>
      <c r="I258" s="16" t="n"/>
      <c r="J258" s="16" t="n"/>
      <c r="K258" s="13" t="n"/>
      <c r="L258" s="13" t="n"/>
      <c r="M258" s="13" t="n"/>
    </row>
    <row r="259" ht="15.75" customHeight="1" s="19">
      <c r="G259" s="2">
        <f>IF(F259="","",SWITCH(F259,"Qualified",0.1,"Discovery",0.2,"Demo Booked",0.35,"Demo Completed",0.5,"Proposal",0.65,"Negotiation",0.8,"Closed Won",1,0))</f>
        <v/>
      </c>
      <c r="H259" s="16" t="n"/>
      <c r="I259" s="16" t="n"/>
      <c r="J259" s="16" t="n"/>
      <c r="K259" s="13" t="n"/>
      <c r="L259" s="13" t="n"/>
      <c r="M259" s="13" t="n"/>
    </row>
    <row r="260" ht="15.75" customHeight="1" s="19">
      <c r="G260" s="2">
        <f>IF(F260="","",SWITCH(F260,"Qualified",0.1,"Discovery",0.2,"Demo Booked",0.35,"Demo Completed",0.5,"Proposal",0.65,"Negotiation",0.8,"Closed Won",1,0))</f>
        <v/>
      </c>
      <c r="H260" s="16" t="n"/>
      <c r="I260" s="16" t="n"/>
      <c r="J260" s="16" t="n"/>
      <c r="K260" s="13" t="n"/>
      <c r="L260" s="13" t="n"/>
      <c r="M260" s="13" t="n"/>
    </row>
    <row r="261" ht="15.75" customHeight="1" s="19">
      <c r="G261" s="2">
        <f>IF(F261="","",SWITCH(F261,"Qualified",0.1,"Discovery",0.2,"Demo Booked",0.35,"Demo Completed",0.5,"Proposal",0.65,"Negotiation",0.8,"Closed Won",1,0))</f>
        <v/>
      </c>
      <c r="H261" s="16" t="n"/>
      <c r="I261" s="16" t="n"/>
      <c r="J261" s="16" t="n"/>
      <c r="K261" s="13" t="n"/>
      <c r="L261" s="13" t="n"/>
      <c r="M261" s="13" t="n"/>
    </row>
    <row r="262" ht="15.75" customHeight="1" s="19">
      <c r="G262" s="2">
        <f>IF(F262="","",SWITCH(F262,"Qualified",0.1,"Discovery",0.2,"Demo Booked",0.35,"Demo Completed",0.5,"Proposal",0.65,"Negotiation",0.8,"Closed Won",1,0))</f>
        <v/>
      </c>
      <c r="H262" s="16" t="n"/>
      <c r="I262" s="16" t="n"/>
      <c r="J262" s="16" t="n"/>
      <c r="K262" s="13" t="n"/>
      <c r="L262" s="13" t="n"/>
      <c r="M262" s="13" t="n"/>
    </row>
    <row r="263" ht="15.75" customHeight="1" s="19">
      <c r="G263" s="2">
        <f>IF(F263="","",SWITCH(F263,"Qualified",0.1,"Discovery",0.2,"Demo Booked",0.35,"Demo Completed",0.5,"Proposal",0.65,"Negotiation",0.8,"Closed Won",1,0))</f>
        <v/>
      </c>
      <c r="H263" s="16" t="n"/>
      <c r="I263" s="16" t="n"/>
      <c r="J263" s="16" t="n"/>
      <c r="K263" s="13" t="n"/>
      <c r="L263" s="13" t="n"/>
      <c r="M263" s="13" t="n"/>
    </row>
    <row r="264" ht="15.75" customHeight="1" s="19">
      <c r="G264" s="2">
        <f>IF(F264="","",SWITCH(F264,"Qualified",0.1,"Discovery",0.2,"Demo Booked",0.35,"Demo Completed",0.5,"Proposal",0.65,"Negotiation",0.8,"Closed Won",1,0))</f>
        <v/>
      </c>
      <c r="H264" s="16" t="n"/>
      <c r="I264" s="16" t="n"/>
      <c r="J264" s="16" t="n"/>
      <c r="K264" s="13" t="n"/>
      <c r="L264" s="13" t="n"/>
      <c r="M264" s="13" t="n"/>
    </row>
    <row r="265" ht="15.75" customHeight="1" s="19">
      <c r="G265" s="2">
        <f>IF(F265="","",SWITCH(F265,"Qualified",0.1,"Discovery",0.2,"Demo Booked",0.35,"Demo Completed",0.5,"Proposal",0.65,"Negotiation",0.8,"Closed Won",1,0))</f>
        <v/>
      </c>
      <c r="H265" s="16" t="n"/>
      <c r="I265" s="16" t="n"/>
      <c r="J265" s="16" t="n"/>
      <c r="K265" s="13" t="n"/>
      <c r="L265" s="13" t="n"/>
      <c r="M265" s="13" t="n"/>
    </row>
    <row r="266" ht="15.75" customHeight="1" s="19">
      <c r="G266" s="2">
        <f>IF(F266="","",SWITCH(F266,"Qualified",0.1,"Discovery",0.2,"Demo Booked",0.35,"Demo Completed",0.5,"Proposal",0.65,"Negotiation",0.8,"Closed Won",1,0))</f>
        <v/>
      </c>
      <c r="H266" s="16" t="n"/>
      <c r="I266" s="16" t="n"/>
      <c r="J266" s="16" t="n"/>
      <c r="K266" s="13" t="n"/>
      <c r="L266" s="13" t="n"/>
      <c r="M266" s="13" t="n"/>
    </row>
    <row r="267" ht="15.75" customHeight="1" s="19">
      <c r="G267" s="2">
        <f>IF(F267="","",SWITCH(F267,"Qualified",0.1,"Discovery",0.2,"Demo Booked",0.35,"Demo Completed",0.5,"Proposal",0.65,"Negotiation",0.8,"Closed Won",1,0))</f>
        <v/>
      </c>
      <c r="H267" s="16" t="n"/>
      <c r="I267" s="16" t="n"/>
      <c r="J267" s="16" t="n"/>
      <c r="K267" s="13" t="n"/>
      <c r="L267" s="13" t="n"/>
      <c r="M267" s="13" t="n"/>
    </row>
    <row r="268" ht="15.75" customHeight="1" s="19">
      <c r="G268" s="2">
        <f>IF(F268="","",SWITCH(F268,"Qualified",0.1,"Discovery",0.2,"Demo Booked",0.35,"Demo Completed",0.5,"Proposal",0.65,"Negotiation",0.8,"Closed Won",1,0))</f>
        <v/>
      </c>
      <c r="H268" s="16" t="n"/>
      <c r="I268" s="16" t="n"/>
      <c r="J268" s="16" t="n"/>
      <c r="K268" s="13" t="n"/>
      <c r="L268" s="13" t="n"/>
      <c r="M268" s="13" t="n"/>
    </row>
    <row r="269" ht="15.75" customHeight="1" s="19">
      <c r="G269" s="2">
        <f>IF(F269="","",SWITCH(F269,"Qualified",0.1,"Discovery",0.2,"Demo Booked",0.35,"Demo Completed",0.5,"Proposal",0.65,"Negotiation",0.8,"Closed Won",1,0))</f>
        <v/>
      </c>
      <c r="H269" s="16" t="n"/>
      <c r="I269" s="16" t="n"/>
      <c r="J269" s="16" t="n"/>
      <c r="K269" s="13" t="n"/>
      <c r="L269" s="13" t="n"/>
      <c r="M269" s="13" t="n"/>
    </row>
    <row r="270" ht="15.75" customHeight="1" s="19">
      <c r="G270" s="2">
        <f>IF(F270="","",SWITCH(F270,"Qualified",0.1,"Discovery",0.2,"Demo Booked",0.35,"Demo Completed",0.5,"Proposal",0.65,"Negotiation",0.8,"Closed Won",1,0))</f>
        <v/>
      </c>
      <c r="H270" s="16" t="n"/>
      <c r="I270" s="16" t="n"/>
      <c r="J270" s="16" t="n"/>
      <c r="K270" s="13" t="n"/>
      <c r="L270" s="13" t="n"/>
      <c r="M270" s="13" t="n"/>
    </row>
    <row r="271" ht="15.75" customHeight="1" s="19">
      <c r="G271" s="2">
        <f>IF(F271="","",SWITCH(F271,"Qualified",0.1,"Discovery",0.2,"Demo Booked",0.35,"Demo Completed",0.5,"Proposal",0.65,"Negotiation",0.8,"Closed Won",1,0))</f>
        <v/>
      </c>
      <c r="H271" s="16" t="n"/>
      <c r="I271" s="16" t="n"/>
      <c r="J271" s="16" t="n"/>
      <c r="K271" s="13" t="n"/>
      <c r="L271" s="13" t="n"/>
      <c r="M271" s="13" t="n"/>
    </row>
    <row r="272" ht="15.75" customHeight="1" s="19">
      <c r="G272" s="2">
        <f>IF(F272="","",SWITCH(F272,"Qualified",0.1,"Discovery",0.2,"Demo Booked",0.35,"Demo Completed",0.5,"Proposal",0.65,"Negotiation",0.8,"Closed Won",1,0))</f>
        <v/>
      </c>
      <c r="H272" s="16" t="n"/>
      <c r="I272" s="16" t="n"/>
      <c r="J272" s="16" t="n"/>
      <c r="K272" s="13" t="n"/>
      <c r="L272" s="13" t="n"/>
      <c r="M272" s="13" t="n"/>
    </row>
    <row r="273" ht="15.75" customHeight="1" s="19">
      <c r="G273" s="2">
        <f>IF(F273="","",SWITCH(F273,"Qualified",0.1,"Discovery",0.2,"Demo Booked",0.35,"Demo Completed",0.5,"Proposal",0.65,"Negotiation",0.8,"Closed Won",1,0))</f>
        <v/>
      </c>
      <c r="H273" s="16" t="n"/>
      <c r="I273" s="16" t="n"/>
      <c r="J273" s="16" t="n"/>
      <c r="K273" s="13" t="n"/>
      <c r="L273" s="13" t="n"/>
      <c r="M273" s="13" t="n"/>
    </row>
    <row r="274" ht="15.75" customHeight="1" s="19">
      <c r="G274" s="2">
        <f>IF(F274="","",SWITCH(F274,"Qualified",0.1,"Discovery",0.2,"Demo Booked",0.35,"Demo Completed",0.5,"Proposal",0.65,"Negotiation",0.8,"Closed Won",1,0))</f>
        <v/>
      </c>
      <c r="H274" s="16" t="n"/>
      <c r="I274" s="16" t="n"/>
      <c r="J274" s="16" t="n"/>
      <c r="K274" s="13" t="n"/>
      <c r="L274" s="13" t="n"/>
      <c r="M274" s="13" t="n"/>
    </row>
    <row r="275" ht="15.75" customHeight="1" s="19">
      <c r="G275" s="2">
        <f>IF(F275="","",SWITCH(F275,"Qualified",0.1,"Discovery",0.2,"Demo Booked",0.35,"Demo Completed",0.5,"Proposal",0.65,"Negotiation",0.8,"Closed Won",1,0))</f>
        <v/>
      </c>
      <c r="H275" s="16" t="n"/>
      <c r="I275" s="16" t="n"/>
      <c r="J275" s="16" t="n"/>
      <c r="K275" s="13" t="n"/>
      <c r="L275" s="13" t="n"/>
      <c r="M275" s="13" t="n"/>
    </row>
    <row r="276" ht="15.75" customHeight="1" s="19">
      <c r="G276" s="2">
        <f>IF(F276="","",SWITCH(F276,"Qualified",0.1,"Discovery",0.2,"Demo Booked",0.35,"Demo Completed",0.5,"Proposal",0.65,"Negotiation",0.8,"Closed Won",1,0))</f>
        <v/>
      </c>
      <c r="H276" s="16" t="n"/>
      <c r="I276" s="16" t="n"/>
      <c r="J276" s="16" t="n"/>
      <c r="K276" s="13" t="n"/>
      <c r="L276" s="13" t="n"/>
      <c r="M276" s="13" t="n"/>
    </row>
    <row r="277" ht="15.75" customHeight="1" s="19">
      <c r="G277" s="2">
        <f>IF(F277="","",SWITCH(F277,"Qualified",0.1,"Discovery",0.2,"Demo Booked",0.35,"Demo Completed",0.5,"Proposal",0.65,"Negotiation",0.8,"Closed Won",1,0))</f>
        <v/>
      </c>
      <c r="H277" s="16" t="n"/>
      <c r="I277" s="16" t="n"/>
      <c r="J277" s="16" t="n"/>
      <c r="K277" s="13" t="n"/>
      <c r="L277" s="13" t="n"/>
      <c r="M277" s="13" t="n"/>
    </row>
    <row r="278" ht="15.75" customHeight="1" s="19">
      <c r="G278" s="2">
        <f>IF(F278="","",SWITCH(F278,"Qualified",0.1,"Discovery",0.2,"Demo Booked",0.35,"Demo Completed",0.5,"Proposal",0.65,"Negotiation",0.8,"Closed Won",1,0))</f>
        <v/>
      </c>
      <c r="H278" s="16" t="n"/>
      <c r="I278" s="16" t="n"/>
      <c r="J278" s="16" t="n"/>
      <c r="K278" s="13" t="n"/>
      <c r="L278" s="13" t="n"/>
      <c r="M278" s="13" t="n"/>
    </row>
    <row r="279" ht="15.75" customHeight="1" s="19">
      <c r="G279" s="2">
        <f>IF(F279="","",SWITCH(F279,"Qualified",0.1,"Discovery",0.2,"Demo Booked",0.35,"Demo Completed",0.5,"Proposal",0.65,"Negotiation",0.8,"Closed Won",1,0))</f>
        <v/>
      </c>
      <c r="H279" s="16" t="n"/>
      <c r="I279" s="16" t="n"/>
      <c r="J279" s="16" t="n"/>
      <c r="K279" s="13" t="n"/>
      <c r="L279" s="13" t="n"/>
      <c r="M279" s="13" t="n"/>
    </row>
    <row r="280" ht="15.75" customHeight="1" s="19">
      <c r="G280" s="2">
        <f>IF(F280="","",SWITCH(F280,"Qualified",0.1,"Discovery",0.2,"Demo Booked",0.35,"Demo Completed",0.5,"Proposal",0.65,"Negotiation",0.8,"Closed Won",1,0))</f>
        <v/>
      </c>
      <c r="H280" s="16" t="n"/>
      <c r="I280" s="16" t="n"/>
      <c r="J280" s="16" t="n"/>
      <c r="K280" s="13" t="n"/>
      <c r="L280" s="13" t="n"/>
      <c r="M280" s="13" t="n"/>
    </row>
    <row r="281" ht="15.75" customHeight="1" s="19">
      <c r="G281" s="2">
        <f>IF(F281="","",SWITCH(F281,"Qualified",0.1,"Discovery",0.2,"Demo Booked",0.35,"Demo Completed",0.5,"Proposal",0.65,"Negotiation",0.8,"Closed Won",1,0))</f>
        <v/>
      </c>
      <c r="H281" s="16" t="n"/>
      <c r="I281" s="16" t="n"/>
      <c r="J281" s="16" t="n"/>
      <c r="K281" s="13" t="n"/>
      <c r="L281" s="13" t="n"/>
      <c r="M281" s="13" t="n"/>
    </row>
    <row r="282" ht="15.75" customHeight="1" s="19">
      <c r="G282" s="2">
        <f>IF(F282="","",SWITCH(F282,"Qualified",0.1,"Discovery",0.2,"Demo Booked",0.35,"Demo Completed",0.5,"Proposal",0.65,"Negotiation",0.8,"Closed Won",1,0))</f>
        <v/>
      </c>
      <c r="H282" s="16" t="n"/>
      <c r="I282" s="16" t="n"/>
      <c r="J282" s="16" t="n"/>
      <c r="K282" s="13" t="n"/>
      <c r="L282" s="13" t="n"/>
      <c r="M282" s="13" t="n"/>
    </row>
    <row r="283" ht="15.75" customHeight="1" s="19">
      <c r="G283" s="2">
        <f>IF(F283="","",SWITCH(F283,"Qualified",0.1,"Discovery",0.2,"Demo Booked",0.35,"Demo Completed",0.5,"Proposal",0.65,"Negotiation",0.8,"Closed Won",1,0))</f>
        <v/>
      </c>
      <c r="H283" s="16" t="n"/>
      <c r="I283" s="16" t="n"/>
      <c r="J283" s="16" t="n"/>
      <c r="K283" s="13" t="n"/>
      <c r="L283" s="13" t="n"/>
      <c r="M283" s="13" t="n"/>
    </row>
    <row r="284" ht="15.75" customHeight="1" s="19">
      <c r="G284" s="2">
        <f>IF(F284="","",SWITCH(F284,"Qualified",0.1,"Discovery",0.2,"Demo Booked",0.35,"Demo Completed",0.5,"Proposal",0.65,"Negotiation",0.8,"Closed Won",1,0))</f>
        <v/>
      </c>
      <c r="H284" s="16" t="n"/>
      <c r="I284" s="16" t="n"/>
      <c r="J284" s="16" t="n"/>
      <c r="K284" s="13" t="n"/>
      <c r="L284" s="13" t="n"/>
      <c r="M284" s="13" t="n"/>
    </row>
    <row r="285" ht="15.75" customHeight="1" s="19">
      <c r="G285" s="2">
        <f>IF(F285="","",SWITCH(F285,"Qualified",0.1,"Discovery",0.2,"Demo Booked",0.35,"Demo Completed",0.5,"Proposal",0.65,"Negotiation",0.8,"Closed Won",1,0))</f>
        <v/>
      </c>
      <c r="H285" s="16" t="n"/>
      <c r="I285" s="16" t="n"/>
      <c r="J285" s="16" t="n"/>
      <c r="K285" s="13" t="n"/>
      <c r="L285" s="13" t="n"/>
      <c r="M285" s="13" t="n"/>
    </row>
    <row r="286" ht="15.75" customHeight="1" s="19">
      <c r="G286" s="2">
        <f>IF(F286="","",SWITCH(F286,"Qualified",0.1,"Discovery",0.2,"Demo Booked",0.35,"Demo Completed",0.5,"Proposal",0.65,"Negotiation",0.8,"Closed Won",1,0))</f>
        <v/>
      </c>
      <c r="H286" s="16" t="n"/>
      <c r="I286" s="16" t="n"/>
      <c r="J286" s="16" t="n"/>
      <c r="K286" s="13" t="n"/>
      <c r="L286" s="13" t="n"/>
      <c r="M286" s="13" t="n"/>
    </row>
    <row r="287" ht="15.75" customHeight="1" s="19">
      <c r="G287" s="2">
        <f>IF(F287="","",SWITCH(F287,"Qualified",0.1,"Discovery",0.2,"Demo Booked",0.35,"Demo Completed",0.5,"Proposal",0.65,"Negotiation",0.8,"Closed Won",1,0))</f>
        <v/>
      </c>
      <c r="H287" s="16" t="n"/>
      <c r="I287" s="16" t="n"/>
      <c r="J287" s="16" t="n"/>
      <c r="K287" s="13" t="n"/>
      <c r="L287" s="13" t="n"/>
      <c r="M287" s="13" t="n"/>
    </row>
    <row r="288" ht="15.75" customHeight="1" s="19">
      <c r="G288" s="2">
        <f>IF(F288="","",SWITCH(F288,"Qualified",0.1,"Discovery",0.2,"Demo Booked",0.35,"Demo Completed",0.5,"Proposal",0.65,"Negotiation",0.8,"Closed Won",1,0))</f>
        <v/>
      </c>
      <c r="H288" s="16" t="n"/>
      <c r="I288" s="16" t="n"/>
      <c r="J288" s="16" t="n"/>
      <c r="K288" s="13" t="n"/>
      <c r="L288" s="13" t="n"/>
      <c r="M288" s="13" t="n"/>
    </row>
    <row r="289" ht="15.75" customHeight="1" s="19">
      <c r="G289" s="2">
        <f>IF(F289="","",SWITCH(F289,"Qualified",0.1,"Discovery",0.2,"Demo Booked",0.35,"Demo Completed",0.5,"Proposal",0.65,"Negotiation",0.8,"Closed Won",1,0))</f>
        <v/>
      </c>
      <c r="H289" s="16" t="n"/>
      <c r="I289" s="16" t="n"/>
      <c r="J289" s="16" t="n"/>
      <c r="K289" s="13" t="n"/>
      <c r="L289" s="13" t="n"/>
      <c r="M289" s="13" t="n"/>
    </row>
    <row r="290" ht="15.75" customHeight="1" s="19">
      <c r="G290" s="2">
        <f>IF(F290="","",SWITCH(F290,"Qualified",0.1,"Discovery",0.2,"Demo Booked",0.35,"Demo Completed",0.5,"Proposal",0.65,"Negotiation",0.8,"Closed Won",1,0))</f>
        <v/>
      </c>
      <c r="H290" s="16" t="n"/>
      <c r="I290" s="16" t="n"/>
      <c r="J290" s="16" t="n"/>
      <c r="K290" s="13" t="n"/>
      <c r="L290" s="13" t="n"/>
      <c r="M290" s="13" t="n"/>
    </row>
    <row r="291" ht="15.75" customHeight="1" s="19">
      <c r="G291" s="2">
        <f>IF(F291="","",SWITCH(F291,"Qualified",0.1,"Discovery",0.2,"Demo Booked",0.35,"Demo Completed",0.5,"Proposal",0.65,"Negotiation",0.8,"Closed Won",1,0))</f>
        <v/>
      </c>
      <c r="H291" s="16" t="n"/>
      <c r="I291" s="16" t="n"/>
      <c r="J291" s="16" t="n"/>
      <c r="K291" s="13" t="n"/>
      <c r="L291" s="13" t="n"/>
      <c r="M291" s="13" t="n"/>
    </row>
    <row r="292" ht="15.75" customHeight="1" s="19">
      <c r="G292" s="2">
        <f>IF(F292="","",SWITCH(F292,"Qualified",0.1,"Discovery",0.2,"Demo Booked",0.35,"Demo Completed",0.5,"Proposal",0.65,"Negotiation",0.8,"Closed Won",1,0))</f>
        <v/>
      </c>
      <c r="H292" s="16" t="n"/>
      <c r="I292" s="16" t="n"/>
      <c r="J292" s="16" t="n"/>
      <c r="K292" s="13" t="n"/>
      <c r="L292" s="13" t="n"/>
      <c r="M292" s="13" t="n"/>
    </row>
    <row r="293" ht="15.75" customHeight="1" s="19">
      <c r="G293" s="2">
        <f>IF(F293="","",SWITCH(F293,"Qualified",0.1,"Discovery",0.2,"Demo Booked",0.35,"Demo Completed",0.5,"Proposal",0.65,"Negotiation",0.8,"Closed Won",1,0))</f>
        <v/>
      </c>
      <c r="H293" s="16" t="n"/>
      <c r="I293" s="16" t="n"/>
      <c r="J293" s="16" t="n"/>
      <c r="K293" s="13" t="n"/>
      <c r="L293" s="13" t="n"/>
      <c r="M293" s="13" t="n"/>
    </row>
    <row r="294" ht="15.75" customHeight="1" s="19">
      <c r="G294" s="2">
        <f>IF(F294="","",SWITCH(F294,"Qualified",0.1,"Discovery",0.2,"Demo Booked",0.35,"Demo Completed",0.5,"Proposal",0.65,"Negotiation",0.8,"Closed Won",1,0))</f>
        <v/>
      </c>
      <c r="H294" s="16" t="n"/>
      <c r="I294" s="16" t="n"/>
      <c r="J294" s="16" t="n"/>
      <c r="K294" s="13" t="n"/>
      <c r="L294" s="13" t="n"/>
      <c r="M294" s="13" t="n"/>
    </row>
    <row r="295" ht="15.75" customHeight="1" s="19">
      <c r="G295" s="2">
        <f>IF(F295="","",SWITCH(F295,"Qualified",0.1,"Discovery",0.2,"Demo Booked",0.35,"Demo Completed",0.5,"Proposal",0.65,"Negotiation",0.8,"Closed Won",1,0))</f>
        <v/>
      </c>
      <c r="H295" s="16" t="n"/>
      <c r="I295" s="16" t="n"/>
      <c r="J295" s="16" t="n"/>
      <c r="K295" s="13" t="n"/>
      <c r="L295" s="13" t="n"/>
      <c r="M295" s="13" t="n"/>
    </row>
    <row r="296" ht="15.75" customHeight="1" s="19">
      <c r="G296" s="2">
        <f>IF(F296="","",SWITCH(F296,"Qualified",0.1,"Discovery",0.2,"Demo Booked",0.35,"Demo Completed",0.5,"Proposal",0.65,"Negotiation",0.8,"Closed Won",1,0))</f>
        <v/>
      </c>
      <c r="H296" s="16" t="n"/>
      <c r="I296" s="16" t="n"/>
      <c r="J296" s="16" t="n"/>
      <c r="K296" s="13" t="n"/>
      <c r="L296" s="13" t="n"/>
      <c r="M296" s="13" t="n"/>
    </row>
    <row r="297" ht="15.75" customHeight="1" s="19">
      <c r="G297" s="2">
        <f>IF(F297="","",SWITCH(F297,"Qualified",0.1,"Discovery",0.2,"Demo Booked",0.35,"Demo Completed",0.5,"Proposal",0.65,"Negotiation",0.8,"Closed Won",1,0))</f>
        <v/>
      </c>
      <c r="H297" s="16" t="n"/>
      <c r="I297" s="16" t="n"/>
      <c r="J297" s="16" t="n"/>
      <c r="K297" s="13" t="n"/>
      <c r="L297" s="13" t="n"/>
      <c r="M297" s="13" t="n"/>
    </row>
    <row r="298" ht="15.75" customHeight="1" s="19">
      <c r="G298" s="2">
        <f>IF(F298="","",SWITCH(F298,"Qualified",0.1,"Discovery",0.2,"Demo Booked",0.35,"Demo Completed",0.5,"Proposal",0.65,"Negotiation",0.8,"Closed Won",1,0))</f>
        <v/>
      </c>
      <c r="H298" s="16" t="n"/>
      <c r="I298" s="16" t="n"/>
      <c r="J298" s="16" t="n"/>
      <c r="K298" s="13" t="n"/>
      <c r="L298" s="13" t="n"/>
      <c r="M298" s="13" t="n"/>
    </row>
    <row r="299" ht="15.75" customHeight="1" s="19">
      <c r="G299" s="2">
        <f>IF(F299="","",SWITCH(F299,"Qualified",0.1,"Discovery",0.2,"Demo Booked",0.35,"Demo Completed",0.5,"Proposal",0.65,"Negotiation",0.8,"Closed Won",1,0))</f>
        <v/>
      </c>
      <c r="H299" s="16" t="n"/>
      <c r="I299" s="16" t="n"/>
      <c r="J299" s="16" t="n"/>
      <c r="K299" s="13" t="n"/>
      <c r="L299" s="13" t="n"/>
      <c r="M299" s="13" t="n"/>
    </row>
    <row r="300" ht="15.75" customHeight="1" s="19">
      <c r="G300" s="2">
        <f>IF(F300="","",SWITCH(F300,"Qualified",0.1,"Discovery",0.2,"Demo Booked",0.35,"Demo Completed",0.5,"Proposal",0.65,"Negotiation",0.8,"Closed Won",1,0))</f>
        <v/>
      </c>
      <c r="H300" s="16" t="n"/>
      <c r="I300" s="16" t="n"/>
      <c r="J300" s="16" t="n"/>
      <c r="K300" s="13" t="n"/>
      <c r="L300" s="13" t="n"/>
      <c r="M300" s="13" t="n"/>
    </row>
    <row r="301" ht="15.75" customHeight="1" s="19">
      <c r="G301" s="2">
        <f>IF(F301="","",SWITCH(F301,"Qualified",0.1,"Discovery",0.2,"Demo Booked",0.35,"Demo Completed",0.5,"Proposal",0.65,"Negotiation",0.8,"Closed Won",1,0))</f>
        <v/>
      </c>
      <c r="H301" s="16" t="n"/>
      <c r="I301" s="16" t="n"/>
      <c r="J301" s="16" t="n"/>
      <c r="K301" s="13" t="n"/>
      <c r="L301" s="13" t="n"/>
      <c r="M301" s="13" t="n"/>
    </row>
    <row r="302" ht="15.75" customHeight="1" s="19">
      <c r="G302" s="2">
        <f>IF(F302="","",SWITCH(F302,"Qualified",0.1,"Discovery",0.2,"Demo Booked",0.35,"Demo Completed",0.5,"Proposal",0.65,"Negotiation",0.8,"Closed Won",1,0))</f>
        <v/>
      </c>
      <c r="H302" s="16" t="n"/>
      <c r="I302" s="16" t="n"/>
      <c r="J302" s="16" t="n"/>
      <c r="K302" s="13" t="n"/>
      <c r="L302" s="13" t="n"/>
      <c r="M302" s="13" t="n"/>
    </row>
    <row r="303" ht="15.75" customHeight="1" s="19">
      <c r="G303" s="2">
        <f>IF(F303="","",SWITCH(F303,"Qualified",0.1,"Discovery",0.2,"Demo Booked",0.35,"Demo Completed",0.5,"Proposal",0.65,"Negotiation",0.8,"Closed Won",1,0))</f>
        <v/>
      </c>
      <c r="H303" s="16" t="n"/>
      <c r="I303" s="16" t="n"/>
      <c r="J303" s="16" t="n"/>
      <c r="K303" s="13" t="n"/>
      <c r="L303" s="13" t="n"/>
      <c r="M303" s="13" t="n"/>
    </row>
    <row r="304" ht="15.75" customHeight="1" s="19">
      <c r="G304" s="2">
        <f>IF(F304="","",SWITCH(F304,"Qualified",0.1,"Discovery",0.2,"Demo Booked",0.35,"Demo Completed",0.5,"Proposal",0.65,"Negotiation",0.8,"Closed Won",1,0))</f>
        <v/>
      </c>
      <c r="H304" s="16" t="n"/>
      <c r="I304" s="16" t="n"/>
      <c r="J304" s="16" t="n"/>
      <c r="K304" s="13" t="n"/>
      <c r="L304" s="13" t="n"/>
      <c r="M304" s="13" t="n"/>
    </row>
    <row r="305" ht="15.75" customHeight="1" s="19">
      <c r="G305" s="2">
        <f>IF(F305="","",SWITCH(F305,"Qualified",0.1,"Discovery",0.2,"Demo Booked",0.35,"Demo Completed",0.5,"Proposal",0.65,"Negotiation",0.8,"Closed Won",1,0))</f>
        <v/>
      </c>
      <c r="H305" s="16" t="n"/>
      <c r="I305" s="16" t="n"/>
      <c r="J305" s="16" t="n"/>
      <c r="K305" s="13" t="n"/>
      <c r="L305" s="13" t="n"/>
      <c r="M305" s="13" t="n"/>
    </row>
    <row r="306" ht="15.75" customHeight="1" s="19">
      <c r="G306" s="2">
        <f>IF(F306="","",SWITCH(F306,"Qualified",0.1,"Discovery",0.2,"Demo Booked",0.35,"Demo Completed",0.5,"Proposal",0.65,"Negotiation",0.8,"Closed Won",1,0))</f>
        <v/>
      </c>
      <c r="H306" s="16" t="n"/>
      <c r="I306" s="16" t="n"/>
      <c r="J306" s="16" t="n"/>
      <c r="K306" s="13" t="n"/>
      <c r="L306" s="13" t="n"/>
      <c r="M306" s="13" t="n"/>
    </row>
    <row r="307" ht="15.75" customHeight="1" s="19">
      <c r="G307" s="2">
        <f>IF(F307="","",SWITCH(F307,"Qualified",0.1,"Discovery",0.2,"Demo Booked",0.35,"Demo Completed",0.5,"Proposal",0.65,"Negotiation",0.8,"Closed Won",1,0))</f>
        <v/>
      </c>
      <c r="H307" s="16" t="n"/>
      <c r="I307" s="16" t="n"/>
      <c r="J307" s="16" t="n"/>
      <c r="K307" s="13" t="n"/>
      <c r="L307" s="13" t="n"/>
      <c r="M307" s="13" t="n"/>
    </row>
    <row r="308" ht="15.75" customHeight="1" s="19">
      <c r="G308" s="2">
        <f>IF(F308="","",SWITCH(F308,"Qualified",0.1,"Discovery",0.2,"Demo Booked",0.35,"Demo Completed",0.5,"Proposal",0.65,"Negotiation",0.8,"Closed Won",1,0))</f>
        <v/>
      </c>
      <c r="H308" s="16" t="n"/>
      <c r="I308" s="16" t="n"/>
      <c r="J308" s="16" t="n"/>
      <c r="K308" s="13" t="n"/>
      <c r="L308" s="13" t="n"/>
      <c r="M308" s="13" t="n"/>
    </row>
    <row r="309" ht="15.75" customHeight="1" s="19">
      <c r="G309" s="2">
        <f>IF(F309="","",SWITCH(F309,"Qualified",0.1,"Discovery",0.2,"Demo Booked",0.35,"Demo Completed",0.5,"Proposal",0.65,"Negotiation",0.8,"Closed Won",1,0))</f>
        <v/>
      </c>
      <c r="H309" s="16" t="n"/>
      <c r="I309" s="16" t="n"/>
      <c r="J309" s="16" t="n"/>
      <c r="K309" s="13" t="n"/>
      <c r="L309" s="13" t="n"/>
      <c r="M309" s="13" t="n"/>
    </row>
    <row r="310" ht="15.75" customHeight="1" s="19">
      <c r="G310" s="2">
        <f>IF(F310="","",SWITCH(F310,"Qualified",0.1,"Discovery",0.2,"Demo Booked",0.35,"Demo Completed",0.5,"Proposal",0.65,"Negotiation",0.8,"Closed Won",1,0))</f>
        <v/>
      </c>
      <c r="H310" s="16" t="n"/>
      <c r="I310" s="16" t="n"/>
      <c r="J310" s="16" t="n"/>
      <c r="K310" s="13" t="n"/>
      <c r="L310" s="13" t="n"/>
      <c r="M310" s="13" t="n"/>
    </row>
    <row r="311" ht="15.75" customHeight="1" s="19">
      <c r="G311" s="2">
        <f>IF(F311="","",SWITCH(F311,"Qualified",0.1,"Discovery",0.2,"Demo Booked",0.35,"Demo Completed",0.5,"Proposal",0.65,"Negotiation",0.8,"Closed Won",1,0))</f>
        <v/>
      </c>
      <c r="H311" s="16" t="n"/>
      <c r="I311" s="16" t="n"/>
      <c r="J311" s="16" t="n"/>
      <c r="K311" s="13" t="n"/>
      <c r="L311" s="13" t="n"/>
      <c r="M311" s="13" t="n"/>
    </row>
    <row r="312" ht="15.75" customHeight="1" s="19">
      <c r="G312" s="2">
        <f>IF(F312="","",SWITCH(F312,"Qualified",0.1,"Discovery",0.2,"Demo Booked",0.35,"Demo Completed",0.5,"Proposal",0.65,"Negotiation",0.8,"Closed Won",1,0))</f>
        <v/>
      </c>
      <c r="H312" s="16" t="n"/>
      <c r="I312" s="16" t="n"/>
      <c r="J312" s="16" t="n"/>
      <c r="K312" s="13" t="n"/>
      <c r="L312" s="13" t="n"/>
      <c r="M312" s="13" t="n"/>
    </row>
    <row r="313" ht="15.75" customHeight="1" s="19">
      <c r="G313" s="2">
        <f>IF(F313="","",SWITCH(F313,"Qualified",0.1,"Discovery",0.2,"Demo Booked",0.35,"Demo Completed",0.5,"Proposal",0.65,"Negotiation",0.8,"Closed Won",1,0))</f>
        <v/>
      </c>
      <c r="H313" s="16" t="n"/>
      <c r="I313" s="16" t="n"/>
      <c r="J313" s="16" t="n"/>
      <c r="K313" s="13" t="n"/>
      <c r="L313" s="13" t="n"/>
      <c r="M313" s="13" t="n"/>
    </row>
    <row r="314" ht="15.75" customHeight="1" s="19">
      <c r="G314" s="2">
        <f>IF(F314="","",SWITCH(F314,"Qualified",0.1,"Discovery",0.2,"Demo Booked",0.35,"Demo Completed",0.5,"Proposal",0.65,"Negotiation",0.8,"Closed Won",1,0))</f>
        <v/>
      </c>
      <c r="H314" s="16" t="n"/>
      <c r="I314" s="16" t="n"/>
      <c r="J314" s="16" t="n"/>
      <c r="K314" s="13" t="n"/>
      <c r="L314" s="13" t="n"/>
      <c r="M314" s="13" t="n"/>
    </row>
    <row r="315" ht="15.75" customHeight="1" s="19">
      <c r="G315" s="2">
        <f>IF(F315="","",SWITCH(F315,"Qualified",0.1,"Discovery",0.2,"Demo Booked",0.35,"Demo Completed",0.5,"Proposal",0.65,"Negotiation",0.8,"Closed Won",1,0))</f>
        <v/>
      </c>
      <c r="H315" s="16" t="n"/>
      <c r="I315" s="16" t="n"/>
      <c r="J315" s="16" t="n"/>
      <c r="K315" s="13" t="n"/>
      <c r="L315" s="13" t="n"/>
      <c r="M315" s="13" t="n"/>
    </row>
    <row r="316" ht="15.75" customHeight="1" s="19">
      <c r="G316" s="2">
        <f>IF(F316="","",SWITCH(F316,"Qualified",0.1,"Discovery",0.2,"Demo Booked",0.35,"Demo Completed",0.5,"Proposal",0.65,"Negotiation",0.8,"Closed Won",1,0))</f>
        <v/>
      </c>
      <c r="H316" s="16" t="n"/>
      <c r="I316" s="16" t="n"/>
      <c r="J316" s="16" t="n"/>
      <c r="K316" s="13" t="n"/>
      <c r="L316" s="13" t="n"/>
      <c r="M316" s="13" t="n"/>
    </row>
    <row r="317" ht="15.75" customHeight="1" s="19">
      <c r="G317" s="2">
        <f>IF(F317="","",SWITCH(F317,"Qualified",0.1,"Discovery",0.2,"Demo Booked",0.35,"Demo Completed",0.5,"Proposal",0.65,"Negotiation",0.8,"Closed Won",1,0))</f>
        <v/>
      </c>
      <c r="H317" s="16" t="n"/>
      <c r="I317" s="16" t="n"/>
      <c r="J317" s="16" t="n"/>
      <c r="K317" s="13" t="n"/>
      <c r="L317" s="13" t="n"/>
      <c r="M317" s="13" t="n"/>
    </row>
    <row r="318" ht="15.75" customHeight="1" s="19">
      <c r="G318" s="2">
        <f>IF(F318="","",SWITCH(F318,"Qualified",0.1,"Discovery",0.2,"Demo Booked",0.35,"Demo Completed",0.5,"Proposal",0.65,"Negotiation",0.8,"Closed Won",1,0))</f>
        <v/>
      </c>
      <c r="H318" s="16" t="n"/>
      <c r="I318" s="16" t="n"/>
      <c r="J318" s="16" t="n"/>
      <c r="K318" s="13" t="n"/>
      <c r="L318" s="13" t="n"/>
      <c r="M318" s="13" t="n"/>
    </row>
    <row r="319" ht="15.75" customHeight="1" s="19">
      <c r="G319" s="2">
        <f>IF(F319="","",SWITCH(F319,"Qualified",0.1,"Discovery",0.2,"Demo Booked",0.35,"Demo Completed",0.5,"Proposal",0.65,"Negotiation",0.8,"Closed Won",1,0))</f>
        <v/>
      </c>
      <c r="H319" s="16" t="n"/>
      <c r="I319" s="16" t="n"/>
      <c r="J319" s="16" t="n"/>
      <c r="K319" s="13" t="n"/>
      <c r="L319" s="13" t="n"/>
      <c r="M319" s="13" t="n"/>
    </row>
    <row r="320" ht="15.75" customHeight="1" s="19">
      <c r="G320" s="2">
        <f>IF(F320="","",SWITCH(F320,"Qualified",0.1,"Discovery",0.2,"Demo Booked",0.35,"Demo Completed",0.5,"Proposal",0.65,"Negotiation",0.8,"Closed Won",1,0))</f>
        <v/>
      </c>
      <c r="H320" s="16" t="n"/>
      <c r="I320" s="16" t="n"/>
      <c r="J320" s="16" t="n"/>
      <c r="K320" s="13" t="n"/>
      <c r="L320" s="13" t="n"/>
      <c r="M320" s="13" t="n"/>
    </row>
    <row r="321" ht="15.75" customHeight="1" s="19">
      <c r="G321" s="2">
        <f>IF(F321="","",SWITCH(F321,"Qualified",0.1,"Discovery",0.2,"Demo Booked",0.35,"Demo Completed",0.5,"Proposal",0.65,"Negotiation",0.8,"Closed Won",1,0))</f>
        <v/>
      </c>
      <c r="H321" s="16" t="n"/>
      <c r="I321" s="16" t="n"/>
      <c r="J321" s="16" t="n"/>
      <c r="K321" s="13" t="n"/>
      <c r="L321" s="13" t="n"/>
      <c r="M321" s="13" t="n"/>
    </row>
    <row r="322" ht="15.75" customHeight="1" s="19">
      <c r="G322" s="2">
        <f>IF(F322="","",SWITCH(F322,"Qualified",0.1,"Discovery",0.2,"Demo Booked",0.35,"Demo Completed",0.5,"Proposal",0.65,"Negotiation",0.8,"Closed Won",1,0))</f>
        <v/>
      </c>
      <c r="H322" s="16" t="n"/>
      <c r="I322" s="16" t="n"/>
      <c r="J322" s="16" t="n"/>
      <c r="K322" s="13" t="n"/>
      <c r="L322" s="13" t="n"/>
      <c r="M322" s="13" t="n"/>
    </row>
    <row r="323" ht="15.75" customHeight="1" s="19">
      <c r="G323" s="2">
        <f>IF(F323="","",SWITCH(F323,"Qualified",0.1,"Discovery",0.2,"Demo Booked",0.35,"Demo Completed",0.5,"Proposal",0.65,"Negotiation",0.8,"Closed Won",1,0))</f>
        <v/>
      </c>
      <c r="H323" s="16" t="n"/>
      <c r="I323" s="16" t="n"/>
      <c r="J323" s="16" t="n"/>
      <c r="K323" s="13" t="n"/>
      <c r="L323" s="13" t="n"/>
      <c r="M323" s="13" t="n"/>
    </row>
    <row r="324" ht="15.75" customHeight="1" s="19">
      <c r="G324" s="2">
        <f>IF(F324="","",SWITCH(F324,"Qualified",0.1,"Discovery",0.2,"Demo Booked",0.35,"Demo Completed",0.5,"Proposal",0.65,"Negotiation",0.8,"Closed Won",1,0))</f>
        <v/>
      </c>
      <c r="H324" s="16" t="n"/>
      <c r="I324" s="16" t="n"/>
      <c r="J324" s="16" t="n"/>
      <c r="K324" s="13" t="n"/>
      <c r="L324" s="13" t="n"/>
      <c r="M324" s="13" t="n"/>
    </row>
    <row r="325" ht="15.75" customHeight="1" s="19">
      <c r="G325" s="2">
        <f>IF(F325="","",SWITCH(F325,"Qualified",0.1,"Discovery",0.2,"Demo Booked",0.35,"Demo Completed",0.5,"Proposal",0.65,"Negotiation",0.8,"Closed Won",1,0))</f>
        <v/>
      </c>
      <c r="H325" s="16" t="n"/>
      <c r="I325" s="16" t="n"/>
      <c r="J325" s="16" t="n"/>
      <c r="K325" s="13" t="n"/>
      <c r="L325" s="13" t="n"/>
      <c r="M325" s="13" t="n"/>
    </row>
    <row r="326" ht="15.75" customHeight="1" s="19">
      <c r="G326" s="2">
        <f>IF(F326="","",SWITCH(F326,"Qualified",0.1,"Discovery",0.2,"Demo Booked",0.35,"Demo Completed",0.5,"Proposal",0.65,"Negotiation",0.8,"Closed Won",1,0))</f>
        <v/>
      </c>
      <c r="H326" s="16" t="n"/>
      <c r="I326" s="16" t="n"/>
      <c r="J326" s="16" t="n"/>
      <c r="K326" s="13" t="n"/>
      <c r="L326" s="13" t="n"/>
      <c r="M326" s="13" t="n"/>
    </row>
    <row r="327" ht="15.75" customHeight="1" s="19">
      <c r="G327" s="2">
        <f>IF(F327="","",SWITCH(F327,"Qualified",0.1,"Discovery",0.2,"Demo Booked",0.35,"Demo Completed",0.5,"Proposal",0.65,"Negotiation",0.8,"Closed Won",1,0))</f>
        <v/>
      </c>
      <c r="H327" s="16" t="n"/>
      <c r="I327" s="16" t="n"/>
      <c r="J327" s="16" t="n"/>
      <c r="K327" s="13" t="n"/>
      <c r="L327" s="13" t="n"/>
      <c r="M327" s="13" t="n"/>
    </row>
    <row r="328" ht="15.75" customHeight="1" s="19">
      <c r="G328" s="2">
        <f>IF(F328="","",SWITCH(F328,"Qualified",0.1,"Discovery",0.2,"Demo Booked",0.35,"Demo Completed",0.5,"Proposal",0.65,"Negotiation",0.8,"Closed Won",1,0))</f>
        <v/>
      </c>
      <c r="H328" s="16" t="n"/>
      <c r="I328" s="16" t="n"/>
      <c r="J328" s="16" t="n"/>
      <c r="K328" s="13" t="n"/>
      <c r="L328" s="13" t="n"/>
      <c r="M328" s="13" t="n"/>
    </row>
    <row r="329" ht="15.75" customHeight="1" s="19">
      <c r="G329" s="2">
        <f>IF(F329="","",SWITCH(F329,"Qualified",0.1,"Discovery",0.2,"Demo Booked",0.35,"Demo Completed",0.5,"Proposal",0.65,"Negotiation",0.8,"Closed Won",1,0))</f>
        <v/>
      </c>
      <c r="H329" s="16" t="n"/>
      <c r="I329" s="16" t="n"/>
      <c r="J329" s="16" t="n"/>
      <c r="K329" s="13" t="n"/>
      <c r="L329" s="13" t="n"/>
      <c r="M329" s="13" t="n"/>
    </row>
    <row r="330" ht="15.75" customHeight="1" s="19">
      <c r="G330" s="2">
        <f>IF(F330="","",SWITCH(F330,"Qualified",0.1,"Discovery",0.2,"Demo Booked",0.35,"Demo Completed",0.5,"Proposal",0.65,"Negotiation",0.8,"Closed Won",1,0))</f>
        <v/>
      </c>
      <c r="H330" s="16" t="n"/>
      <c r="I330" s="16" t="n"/>
      <c r="J330" s="16" t="n"/>
      <c r="K330" s="13" t="n"/>
      <c r="L330" s="13" t="n"/>
      <c r="M330" s="13" t="n"/>
    </row>
    <row r="331" ht="15.75" customHeight="1" s="19">
      <c r="G331" s="2">
        <f>IF(F331="","",SWITCH(F331,"Qualified",0.1,"Discovery",0.2,"Demo Booked",0.35,"Demo Completed",0.5,"Proposal",0.65,"Negotiation",0.8,"Closed Won",1,0))</f>
        <v/>
      </c>
      <c r="H331" s="16" t="n"/>
      <c r="I331" s="16" t="n"/>
      <c r="J331" s="16" t="n"/>
      <c r="K331" s="13" t="n"/>
      <c r="L331" s="13" t="n"/>
      <c r="M331" s="13" t="n"/>
    </row>
    <row r="332" ht="15.75" customHeight="1" s="19">
      <c r="G332" s="2">
        <f>IF(F332="","",SWITCH(F332,"Qualified",0.1,"Discovery",0.2,"Demo Booked",0.35,"Demo Completed",0.5,"Proposal",0.65,"Negotiation",0.8,"Closed Won",1,0))</f>
        <v/>
      </c>
      <c r="H332" s="16" t="n"/>
      <c r="I332" s="16" t="n"/>
      <c r="J332" s="16" t="n"/>
      <c r="K332" s="13" t="n"/>
      <c r="L332" s="13" t="n"/>
      <c r="M332" s="13" t="n"/>
    </row>
    <row r="333" ht="15.75" customHeight="1" s="19">
      <c r="G333" s="2">
        <f>IF(F333="","",SWITCH(F333,"Qualified",0.1,"Discovery",0.2,"Demo Booked",0.35,"Demo Completed",0.5,"Proposal",0.65,"Negotiation",0.8,"Closed Won",1,0))</f>
        <v/>
      </c>
      <c r="H333" s="16" t="n"/>
      <c r="I333" s="16" t="n"/>
      <c r="J333" s="16" t="n"/>
      <c r="K333" s="13" t="n"/>
      <c r="L333" s="13" t="n"/>
      <c r="M333" s="13" t="n"/>
    </row>
    <row r="334" ht="15.75" customHeight="1" s="19">
      <c r="G334" s="2">
        <f>IF(F334="","",SWITCH(F334,"Qualified",0.1,"Discovery",0.2,"Demo Booked",0.35,"Demo Completed",0.5,"Proposal",0.65,"Negotiation",0.8,"Closed Won",1,0))</f>
        <v/>
      </c>
      <c r="H334" s="16" t="n"/>
      <c r="I334" s="16" t="n"/>
      <c r="J334" s="16" t="n"/>
      <c r="K334" s="13" t="n"/>
      <c r="L334" s="13" t="n"/>
      <c r="M334" s="13" t="n"/>
    </row>
    <row r="335" ht="15.75" customHeight="1" s="19">
      <c r="G335" s="2">
        <f>IF(F335="","",SWITCH(F335,"Qualified",0.1,"Discovery",0.2,"Demo Booked",0.35,"Demo Completed",0.5,"Proposal",0.65,"Negotiation",0.8,"Closed Won",1,0))</f>
        <v/>
      </c>
      <c r="H335" s="16" t="n"/>
      <c r="I335" s="16" t="n"/>
      <c r="J335" s="16" t="n"/>
      <c r="K335" s="13" t="n"/>
      <c r="L335" s="13" t="n"/>
      <c r="M335" s="13" t="n"/>
    </row>
    <row r="336" ht="15.75" customHeight="1" s="19">
      <c r="G336" s="2">
        <f>IF(F336="","",SWITCH(F336,"Qualified",0.1,"Discovery",0.2,"Demo Booked",0.35,"Demo Completed",0.5,"Proposal",0.65,"Negotiation",0.8,"Closed Won",1,0))</f>
        <v/>
      </c>
      <c r="H336" s="16" t="n"/>
      <c r="I336" s="16" t="n"/>
      <c r="J336" s="16" t="n"/>
      <c r="K336" s="13" t="n"/>
      <c r="L336" s="13" t="n"/>
      <c r="M336" s="13" t="n"/>
    </row>
    <row r="337" ht="15.75" customHeight="1" s="19">
      <c r="G337" s="2">
        <f>IF(F337="","",SWITCH(F337,"Qualified",0.1,"Discovery",0.2,"Demo Booked",0.35,"Demo Completed",0.5,"Proposal",0.65,"Negotiation",0.8,"Closed Won",1,0))</f>
        <v/>
      </c>
      <c r="H337" s="16" t="n"/>
      <c r="I337" s="16" t="n"/>
      <c r="J337" s="16" t="n"/>
      <c r="K337" s="13" t="n"/>
      <c r="L337" s="13" t="n"/>
      <c r="M337" s="13" t="n"/>
    </row>
    <row r="338" ht="15.75" customHeight="1" s="19">
      <c r="G338" s="2">
        <f>IF(F338="","",SWITCH(F338,"Qualified",0.1,"Discovery",0.2,"Demo Booked",0.35,"Demo Completed",0.5,"Proposal",0.65,"Negotiation",0.8,"Closed Won",1,0))</f>
        <v/>
      </c>
      <c r="H338" s="16" t="n"/>
      <c r="I338" s="16" t="n"/>
      <c r="J338" s="16" t="n"/>
      <c r="K338" s="13" t="n"/>
      <c r="L338" s="13" t="n"/>
      <c r="M338" s="13" t="n"/>
    </row>
    <row r="339" ht="15.75" customHeight="1" s="19">
      <c r="G339" s="2">
        <f>IF(F339="","",SWITCH(F339,"Qualified",0.1,"Discovery",0.2,"Demo Booked",0.35,"Demo Completed",0.5,"Proposal",0.65,"Negotiation",0.8,"Closed Won",1,0))</f>
        <v/>
      </c>
      <c r="H339" s="16" t="n"/>
      <c r="I339" s="16" t="n"/>
      <c r="J339" s="16" t="n"/>
      <c r="K339" s="13" t="n"/>
      <c r="L339" s="13" t="n"/>
      <c r="M339" s="13" t="n"/>
    </row>
    <row r="340" ht="15.75" customHeight="1" s="19">
      <c r="G340" s="2">
        <f>IF(F340="","",SWITCH(F340,"Qualified",0.1,"Discovery",0.2,"Demo Booked",0.35,"Demo Completed",0.5,"Proposal",0.65,"Negotiation",0.8,"Closed Won",1,0))</f>
        <v/>
      </c>
      <c r="H340" s="16" t="n"/>
      <c r="I340" s="16" t="n"/>
      <c r="J340" s="16" t="n"/>
      <c r="K340" s="13" t="n"/>
      <c r="L340" s="13" t="n"/>
      <c r="M340" s="13" t="n"/>
    </row>
    <row r="341" ht="15.75" customHeight="1" s="19">
      <c r="G341" s="2">
        <f>IF(F341="","",SWITCH(F341,"Qualified",0.1,"Discovery",0.2,"Demo Booked",0.35,"Demo Completed",0.5,"Proposal",0.65,"Negotiation",0.8,"Closed Won",1,0))</f>
        <v/>
      </c>
      <c r="H341" s="16" t="n"/>
      <c r="I341" s="16" t="n"/>
      <c r="J341" s="16" t="n"/>
      <c r="K341" s="13" t="n"/>
      <c r="L341" s="13" t="n"/>
      <c r="M341" s="13" t="n"/>
    </row>
    <row r="342" ht="15.75" customHeight="1" s="19">
      <c r="G342" s="2">
        <f>IF(F342="","",SWITCH(F342,"Qualified",0.1,"Discovery",0.2,"Demo Booked",0.35,"Demo Completed",0.5,"Proposal",0.65,"Negotiation",0.8,"Closed Won",1,0))</f>
        <v/>
      </c>
      <c r="H342" s="16" t="n"/>
      <c r="I342" s="16" t="n"/>
      <c r="J342" s="16" t="n"/>
      <c r="K342" s="13" t="n"/>
      <c r="L342" s="13" t="n"/>
      <c r="M342" s="13" t="n"/>
    </row>
    <row r="343" ht="15.75" customHeight="1" s="19">
      <c r="G343" s="2">
        <f>IF(F343="","",SWITCH(F343,"Qualified",0.1,"Discovery",0.2,"Demo Booked",0.35,"Demo Completed",0.5,"Proposal",0.65,"Negotiation",0.8,"Closed Won",1,0))</f>
        <v/>
      </c>
      <c r="H343" s="16" t="n"/>
      <c r="I343" s="16" t="n"/>
      <c r="J343" s="16" t="n"/>
      <c r="K343" s="13" t="n"/>
      <c r="L343" s="13" t="n"/>
      <c r="M343" s="13" t="n"/>
    </row>
    <row r="344" ht="15.75" customHeight="1" s="19">
      <c r="G344" s="2">
        <f>IF(F344="","",SWITCH(F344,"Qualified",0.1,"Discovery",0.2,"Demo Booked",0.35,"Demo Completed",0.5,"Proposal",0.65,"Negotiation",0.8,"Closed Won",1,0))</f>
        <v/>
      </c>
      <c r="H344" s="16" t="n"/>
      <c r="I344" s="16" t="n"/>
      <c r="J344" s="16" t="n"/>
      <c r="K344" s="13" t="n"/>
      <c r="L344" s="13" t="n"/>
      <c r="M344" s="13" t="n"/>
    </row>
    <row r="345" ht="15.75" customHeight="1" s="19">
      <c r="G345" s="2">
        <f>IF(F345="","",SWITCH(F345,"Qualified",0.1,"Discovery",0.2,"Demo Booked",0.35,"Demo Completed",0.5,"Proposal",0.65,"Negotiation",0.8,"Closed Won",1,0))</f>
        <v/>
      </c>
      <c r="H345" s="16" t="n"/>
      <c r="I345" s="16" t="n"/>
      <c r="J345" s="16" t="n"/>
      <c r="K345" s="13" t="n"/>
      <c r="L345" s="13" t="n"/>
      <c r="M345" s="13" t="n"/>
    </row>
    <row r="346" ht="15.75" customHeight="1" s="19">
      <c r="G346" s="2">
        <f>IF(F346="","",SWITCH(F346,"Qualified",0.1,"Discovery",0.2,"Demo Booked",0.35,"Demo Completed",0.5,"Proposal",0.65,"Negotiation",0.8,"Closed Won",1,0))</f>
        <v/>
      </c>
      <c r="H346" s="16" t="n"/>
      <c r="I346" s="16" t="n"/>
      <c r="J346" s="16" t="n"/>
      <c r="K346" s="13" t="n"/>
      <c r="L346" s="13" t="n"/>
      <c r="M346" s="13" t="n"/>
    </row>
    <row r="347" ht="15.75" customHeight="1" s="19">
      <c r="G347" s="2">
        <f>IF(F347="","",SWITCH(F347,"Qualified",0.1,"Discovery",0.2,"Demo Booked",0.35,"Demo Completed",0.5,"Proposal",0.65,"Negotiation",0.8,"Closed Won",1,0))</f>
        <v/>
      </c>
      <c r="H347" s="16" t="n"/>
      <c r="I347" s="16" t="n"/>
      <c r="J347" s="16" t="n"/>
      <c r="K347" s="13" t="n"/>
      <c r="L347" s="13" t="n"/>
      <c r="M347" s="13" t="n"/>
    </row>
    <row r="348" ht="15.75" customHeight="1" s="19">
      <c r="G348" s="2">
        <f>IF(F348="","",SWITCH(F348,"Qualified",0.1,"Discovery",0.2,"Demo Booked",0.35,"Demo Completed",0.5,"Proposal",0.65,"Negotiation",0.8,"Closed Won",1,0))</f>
        <v/>
      </c>
      <c r="H348" s="16" t="n"/>
      <c r="I348" s="16" t="n"/>
      <c r="J348" s="16" t="n"/>
      <c r="K348" s="13" t="n"/>
      <c r="L348" s="13" t="n"/>
      <c r="M348" s="13" t="n"/>
    </row>
    <row r="349" ht="15.75" customHeight="1" s="19">
      <c r="G349" s="2">
        <f>IF(F349="","",SWITCH(F349,"Qualified",0.1,"Discovery",0.2,"Demo Booked",0.35,"Demo Completed",0.5,"Proposal",0.65,"Negotiation",0.8,"Closed Won",1,0))</f>
        <v/>
      </c>
      <c r="H349" s="16" t="n"/>
      <c r="I349" s="16" t="n"/>
      <c r="J349" s="16" t="n"/>
      <c r="K349" s="13" t="n"/>
      <c r="L349" s="13" t="n"/>
      <c r="M349" s="13" t="n"/>
    </row>
    <row r="350" ht="15.75" customHeight="1" s="19">
      <c r="G350" s="2">
        <f>IF(F350="","",SWITCH(F350,"Qualified",0.1,"Discovery",0.2,"Demo Booked",0.35,"Demo Completed",0.5,"Proposal",0.65,"Negotiation",0.8,"Closed Won",1,0))</f>
        <v/>
      </c>
      <c r="H350" s="16" t="n"/>
      <c r="I350" s="16" t="n"/>
      <c r="J350" s="16" t="n"/>
      <c r="K350" s="13" t="n"/>
      <c r="L350" s="13" t="n"/>
      <c r="M350" s="13" t="n"/>
    </row>
    <row r="351" ht="15.75" customHeight="1" s="19">
      <c r="G351" s="2">
        <f>IF(F351="","",SWITCH(F351,"Qualified",0.1,"Discovery",0.2,"Demo Booked",0.35,"Demo Completed",0.5,"Proposal",0.65,"Negotiation",0.8,"Closed Won",1,0))</f>
        <v/>
      </c>
      <c r="H351" s="16" t="n"/>
      <c r="I351" s="16" t="n"/>
      <c r="J351" s="16" t="n"/>
      <c r="K351" s="13" t="n"/>
      <c r="L351" s="13" t="n"/>
      <c r="M351" s="13" t="n"/>
    </row>
    <row r="352" ht="15.75" customHeight="1" s="19">
      <c r="G352" s="2">
        <f>IF(F352="","",SWITCH(F352,"Qualified",0.1,"Discovery",0.2,"Demo Booked",0.35,"Demo Completed",0.5,"Proposal",0.65,"Negotiation",0.8,"Closed Won",1,0))</f>
        <v/>
      </c>
      <c r="H352" s="16" t="n"/>
      <c r="I352" s="16" t="n"/>
      <c r="J352" s="16" t="n"/>
      <c r="K352" s="13" t="n"/>
      <c r="L352" s="13" t="n"/>
      <c r="M352" s="13" t="n"/>
    </row>
    <row r="353" ht="15.75" customHeight="1" s="19">
      <c r="G353" s="2">
        <f>IF(F353="","",SWITCH(F353,"Qualified",0.1,"Discovery",0.2,"Demo Booked",0.35,"Demo Completed",0.5,"Proposal",0.65,"Negotiation",0.8,"Closed Won",1,0))</f>
        <v/>
      </c>
      <c r="H353" s="16" t="n"/>
      <c r="I353" s="16" t="n"/>
      <c r="J353" s="16" t="n"/>
      <c r="K353" s="13" t="n"/>
      <c r="L353" s="13" t="n"/>
      <c r="M353" s="13" t="n"/>
    </row>
    <row r="354" ht="15.75" customHeight="1" s="19">
      <c r="G354" s="2">
        <f>IF(F354="","",SWITCH(F354,"Qualified",0.1,"Discovery",0.2,"Demo Booked",0.35,"Demo Completed",0.5,"Proposal",0.65,"Negotiation",0.8,"Closed Won",1,0))</f>
        <v/>
      </c>
      <c r="H354" s="16" t="n"/>
      <c r="I354" s="16" t="n"/>
      <c r="J354" s="16" t="n"/>
      <c r="K354" s="13" t="n"/>
      <c r="L354" s="13" t="n"/>
      <c r="M354" s="13" t="n"/>
    </row>
    <row r="355" ht="15.75" customHeight="1" s="19">
      <c r="G355" s="2">
        <f>IF(F355="","",SWITCH(F355,"Qualified",0.1,"Discovery",0.2,"Demo Booked",0.35,"Demo Completed",0.5,"Proposal",0.65,"Negotiation",0.8,"Closed Won",1,0))</f>
        <v/>
      </c>
      <c r="H355" s="16" t="n"/>
      <c r="I355" s="16" t="n"/>
      <c r="J355" s="16" t="n"/>
      <c r="K355" s="13" t="n"/>
      <c r="L355" s="13" t="n"/>
      <c r="M355" s="13" t="n"/>
    </row>
    <row r="356" ht="15.75" customHeight="1" s="19">
      <c r="G356" s="2">
        <f>IF(F356="","",SWITCH(F356,"Qualified",0.1,"Discovery",0.2,"Demo Booked",0.35,"Demo Completed",0.5,"Proposal",0.65,"Negotiation",0.8,"Closed Won",1,0))</f>
        <v/>
      </c>
      <c r="H356" s="16" t="n"/>
      <c r="I356" s="16" t="n"/>
      <c r="J356" s="16" t="n"/>
      <c r="K356" s="13" t="n"/>
      <c r="L356" s="13" t="n"/>
      <c r="M356" s="13" t="n"/>
    </row>
    <row r="357" ht="15.75" customHeight="1" s="19">
      <c r="G357" s="2">
        <f>IF(F357="","",SWITCH(F357,"Qualified",0.1,"Discovery",0.2,"Demo Booked",0.35,"Demo Completed",0.5,"Proposal",0.65,"Negotiation",0.8,"Closed Won",1,0))</f>
        <v/>
      </c>
      <c r="H357" s="16" t="n"/>
      <c r="I357" s="16" t="n"/>
      <c r="J357" s="16" t="n"/>
      <c r="K357" s="13" t="n"/>
      <c r="L357" s="13" t="n"/>
      <c r="M357" s="13" t="n"/>
    </row>
    <row r="358" ht="15.75" customHeight="1" s="19">
      <c r="G358" s="2">
        <f>IF(F358="","",SWITCH(F358,"Qualified",0.1,"Discovery",0.2,"Demo Booked",0.35,"Demo Completed",0.5,"Proposal",0.65,"Negotiation",0.8,"Closed Won",1,0))</f>
        <v/>
      </c>
      <c r="H358" s="16" t="n"/>
      <c r="I358" s="16" t="n"/>
      <c r="J358" s="16" t="n"/>
      <c r="K358" s="13" t="n"/>
      <c r="L358" s="13" t="n"/>
      <c r="M358" s="13" t="n"/>
    </row>
    <row r="359" ht="15.75" customHeight="1" s="19">
      <c r="G359" s="2">
        <f>IF(F359="","",SWITCH(F359,"Qualified",0.1,"Discovery",0.2,"Demo Booked",0.35,"Demo Completed",0.5,"Proposal",0.65,"Negotiation",0.8,"Closed Won",1,0))</f>
        <v/>
      </c>
      <c r="H359" s="16" t="n"/>
      <c r="I359" s="16" t="n"/>
      <c r="J359" s="16" t="n"/>
      <c r="K359" s="13" t="n"/>
      <c r="L359" s="13" t="n"/>
      <c r="M359" s="13" t="n"/>
    </row>
    <row r="360" ht="15.75" customHeight="1" s="19">
      <c r="G360" s="2">
        <f>IF(F360="","",SWITCH(F360,"Qualified",0.1,"Discovery",0.2,"Demo Booked",0.35,"Demo Completed",0.5,"Proposal",0.65,"Negotiation",0.8,"Closed Won",1,0))</f>
        <v/>
      </c>
      <c r="H360" s="16" t="n"/>
      <c r="I360" s="16" t="n"/>
      <c r="J360" s="16" t="n"/>
      <c r="K360" s="13" t="n"/>
      <c r="L360" s="13" t="n"/>
      <c r="M360" s="13" t="n"/>
    </row>
    <row r="361" ht="15.75" customHeight="1" s="19">
      <c r="G361" s="2">
        <f>IF(F361="","",SWITCH(F361,"Qualified",0.1,"Discovery",0.2,"Demo Booked",0.35,"Demo Completed",0.5,"Proposal",0.65,"Negotiation",0.8,"Closed Won",1,0))</f>
        <v/>
      </c>
      <c r="H361" s="16" t="n"/>
      <c r="I361" s="16" t="n"/>
      <c r="J361" s="16" t="n"/>
      <c r="K361" s="13" t="n"/>
      <c r="L361" s="13" t="n"/>
      <c r="M361" s="13" t="n"/>
    </row>
    <row r="362" ht="15.75" customHeight="1" s="19">
      <c r="G362" s="2">
        <f>IF(F362="","",SWITCH(F362,"Qualified",0.1,"Discovery",0.2,"Demo Booked",0.35,"Demo Completed",0.5,"Proposal",0.65,"Negotiation",0.8,"Closed Won",1,0))</f>
        <v/>
      </c>
      <c r="H362" s="16" t="n"/>
      <c r="I362" s="16" t="n"/>
      <c r="J362" s="16" t="n"/>
      <c r="K362" s="13" t="n"/>
      <c r="L362" s="13" t="n"/>
      <c r="M362" s="13" t="n"/>
    </row>
    <row r="363" ht="15.75" customHeight="1" s="19">
      <c r="G363" s="2">
        <f>IF(F363="","",SWITCH(F363,"Qualified",0.1,"Discovery",0.2,"Demo Booked",0.35,"Demo Completed",0.5,"Proposal",0.65,"Negotiation",0.8,"Closed Won",1,0))</f>
        <v/>
      </c>
      <c r="H363" s="16" t="n"/>
      <c r="I363" s="16" t="n"/>
      <c r="J363" s="16" t="n"/>
      <c r="K363" s="13" t="n"/>
      <c r="L363" s="13" t="n"/>
      <c r="M363" s="13" t="n"/>
    </row>
    <row r="364" ht="15.75" customHeight="1" s="19">
      <c r="G364" s="2">
        <f>IF(F364="","",SWITCH(F364,"Qualified",0.1,"Discovery",0.2,"Demo Booked",0.35,"Demo Completed",0.5,"Proposal",0.65,"Negotiation",0.8,"Closed Won",1,0))</f>
        <v/>
      </c>
      <c r="H364" s="16" t="n"/>
      <c r="I364" s="16" t="n"/>
      <c r="J364" s="16" t="n"/>
      <c r="K364" s="13" t="n"/>
      <c r="L364" s="13" t="n"/>
      <c r="M364" s="13" t="n"/>
    </row>
    <row r="365" ht="15.75" customHeight="1" s="19">
      <c r="G365" s="2">
        <f>IF(F365="","",SWITCH(F365,"Qualified",0.1,"Discovery",0.2,"Demo Booked",0.35,"Demo Completed",0.5,"Proposal",0.65,"Negotiation",0.8,"Closed Won",1,0))</f>
        <v/>
      </c>
      <c r="H365" s="16" t="n"/>
      <c r="I365" s="16" t="n"/>
      <c r="J365" s="16" t="n"/>
      <c r="K365" s="13" t="n"/>
      <c r="L365" s="13" t="n"/>
      <c r="M365" s="13" t="n"/>
    </row>
    <row r="366" ht="15.75" customHeight="1" s="19">
      <c r="G366" s="2">
        <f>IF(F366="","",SWITCH(F366,"Qualified",0.1,"Discovery",0.2,"Demo Booked",0.35,"Demo Completed",0.5,"Proposal",0.65,"Negotiation",0.8,"Closed Won",1,0))</f>
        <v/>
      </c>
      <c r="H366" s="16" t="n"/>
      <c r="I366" s="16" t="n"/>
      <c r="J366" s="16" t="n"/>
      <c r="K366" s="13" t="n"/>
      <c r="L366" s="13" t="n"/>
      <c r="M366" s="13" t="n"/>
    </row>
    <row r="367" ht="15.75" customHeight="1" s="19">
      <c r="G367" s="2">
        <f>IF(F367="","",SWITCH(F367,"Qualified",0.1,"Discovery",0.2,"Demo Booked",0.35,"Demo Completed",0.5,"Proposal",0.65,"Negotiation",0.8,"Closed Won",1,0))</f>
        <v/>
      </c>
      <c r="H367" s="16" t="n"/>
      <c r="I367" s="16" t="n"/>
      <c r="J367" s="16" t="n"/>
      <c r="K367" s="13" t="n"/>
      <c r="L367" s="13" t="n"/>
      <c r="M367" s="13" t="n"/>
    </row>
    <row r="368" ht="15.75" customHeight="1" s="19">
      <c r="G368" s="2">
        <f>IF(F368="","",SWITCH(F368,"Qualified",0.1,"Discovery",0.2,"Demo Booked",0.35,"Demo Completed",0.5,"Proposal",0.65,"Negotiation",0.8,"Closed Won",1,0))</f>
        <v/>
      </c>
      <c r="H368" s="16" t="n"/>
      <c r="I368" s="16" t="n"/>
      <c r="J368" s="16" t="n"/>
      <c r="K368" s="13" t="n"/>
      <c r="L368" s="13" t="n"/>
      <c r="M368" s="13" t="n"/>
    </row>
    <row r="369" ht="15.75" customHeight="1" s="19">
      <c r="G369" s="2">
        <f>IF(F369="","",SWITCH(F369,"Qualified",0.1,"Discovery",0.2,"Demo Booked",0.35,"Demo Completed",0.5,"Proposal",0.65,"Negotiation",0.8,"Closed Won",1,0))</f>
        <v/>
      </c>
      <c r="H369" s="16" t="n"/>
      <c r="I369" s="16" t="n"/>
      <c r="J369" s="16" t="n"/>
      <c r="K369" s="13" t="n"/>
      <c r="L369" s="13" t="n"/>
      <c r="M369" s="13" t="n"/>
    </row>
    <row r="370" ht="15.75" customHeight="1" s="19">
      <c r="G370" s="2">
        <f>IF(F370="","",SWITCH(F370,"Qualified",0.1,"Discovery",0.2,"Demo Booked",0.35,"Demo Completed",0.5,"Proposal",0.65,"Negotiation",0.8,"Closed Won",1,0))</f>
        <v/>
      </c>
      <c r="H370" s="16" t="n"/>
      <c r="I370" s="16" t="n"/>
      <c r="J370" s="16" t="n"/>
      <c r="K370" s="13" t="n"/>
      <c r="L370" s="13" t="n"/>
      <c r="M370" s="13" t="n"/>
    </row>
    <row r="371" ht="15.75" customHeight="1" s="19">
      <c r="G371" s="2">
        <f>IF(F371="","",SWITCH(F371,"Qualified",0.1,"Discovery",0.2,"Demo Booked",0.35,"Demo Completed",0.5,"Proposal",0.65,"Negotiation",0.8,"Closed Won",1,0))</f>
        <v/>
      </c>
      <c r="H371" s="16" t="n"/>
      <c r="I371" s="16" t="n"/>
      <c r="J371" s="16" t="n"/>
      <c r="K371" s="13" t="n"/>
      <c r="L371" s="13" t="n"/>
      <c r="M371" s="13" t="n"/>
    </row>
    <row r="372" ht="15.75" customHeight="1" s="19">
      <c r="G372" s="2">
        <f>IF(F372="","",SWITCH(F372,"Qualified",0.1,"Discovery",0.2,"Demo Booked",0.35,"Demo Completed",0.5,"Proposal",0.65,"Negotiation",0.8,"Closed Won",1,0))</f>
        <v/>
      </c>
      <c r="H372" s="16" t="n"/>
      <c r="I372" s="16" t="n"/>
      <c r="J372" s="16" t="n"/>
      <c r="K372" s="13" t="n"/>
      <c r="L372" s="13" t="n"/>
      <c r="M372" s="13" t="n"/>
    </row>
    <row r="373" ht="15.75" customHeight="1" s="19">
      <c r="G373" s="2">
        <f>IF(F373="","",SWITCH(F373,"Qualified",0.1,"Discovery",0.2,"Demo Booked",0.35,"Demo Completed",0.5,"Proposal",0.65,"Negotiation",0.8,"Closed Won",1,0))</f>
        <v/>
      </c>
      <c r="H373" s="16" t="n"/>
      <c r="I373" s="16" t="n"/>
      <c r="J373" s="16" t="n"/>
      <c r="K373" s="13" t="n"/>
      <c r="L373" s="13" t="n"/>
      <c r="M373" s="13" t="n"/>
    </row>
    <row r="374" ht="15.75" customHeight="1" s="19">
      <c r="G374" s="2">
        <f>IF(F374="","",SWITCH(F374,"Qualified",0.1,"Discovery",0.2,"Demo Booked",0.35,"Demo Completed",0.5,"Proposal",0.65,"Negotiation",0.8,"Closed Won",1,0))</f>
        <v/>
      </c>
      <c r="H374" s="16" t="n"/>
      <c r="I374" s="16" t="n"/>
      <c r="J374" s="16" t="n"/>
      <c r="K374" s="13" t="n"/>
      <c r="L374" s="13" t="n"/>
      <c r="M374" s="13" t="n"/>
    </row>
    <row r="375" ht="15.75" customHeight="1" s="19">
      <c r="G375" s="2">
        <f>IF(F375="","",SWITCH(F375,"Qualified",0.1,"Discovery",0.2,"Demo Booked",0.35,"Demo Completed",0.5,"Proposal",0.65,"Negotiation",0.8,"Closed Won",1,0))</f>
        <v/>
      </c>
      <c r="H375" s="16" t="n"/>
      <c r="I375" s="16" t="n"/>
      <c r="J375" s="16" t="n"/>
      <c r="K375" s="13" t="n"/>
      <c r="L375" s="13" t="n"/>
      <c r="M375" s="13" t="n"/>
    </row>
    <row r="376" ht="15.75" customHeight="1" s="19">
      <c r="G376" s="2">
        <f>IF(F376="","",SWITCH(F376,"Qualified",0.1,"Discovery",0.2,"Demo Booked",0.35,"Demo Completed",0.5,"Proposal",0.65,"Negotiation",0.8,"Closed Won",1,0))</f>
        <v/>
      </c>
      <c r="H376" s="16" t="n"/>
      <c r="I376" s="16" t="n"/>
      <c r="J376" s="16" t="n"/>
      <c r="K376" s="13" t="n"/>
      <c r="L376" s="13" t="n"/>
      <c r="M376" s="13" t="n"/>
    </row>
    <row r="377" ht="15.75" customHeight="1" s="19">
      <c r="G377" s="2">
        <f>IF(F377="","",SWITCH(F377,"Qualified",0.1,"Discovery",0.2,"Demo Booked",0.35,"Demo Completed",0.5,"Proposal",0.65,"Negotiation",0.8,"Closed Won",1,0))</f>
        <v/>
      </c>
      <c r="H377" s="16" t="n"/>
      <c r="I377" s="16" t="n"/>
      <c r="J377" s="16" t="n"/>
      <c r="K377" s="13" t="n"/>
      <c r="L377" s="13" t="n"/>
      <c r="M377" s="13" t="n"/>
    </row>
    <row r="378" ht="15.75" customHeight="1" s="19">
      <c r="G378" s="2">
        <f>IF(F378="","",SWITCH(F378,"Qualified",0.1,"Discovery",0.2,"Demo Booked",0.35,"Demo Completed",0.5,"Proposal",0.65,"Negotiation",0.8,"Closed Won",1,0))</f>
        <v/>
      </c>
      <c r="H378" s="16" t="n"/>
      <c r="I378" s="16" t="n"/>
      <c r="J378" s="16" t="n"/>
      <c r="K378" s="13" t="n"/>
      <c r="L378" s="13" t="n"/>
      <c r="M378" s="13" t="n"/>
    </row>
    <row r="379" ht="15.75" customHeight="1" s="19">
      <c r="G379" s="2">
        <f>IF(F379="","",SWITCH(F379,"Qualified",0.1,"Discovery",0.2,"Demo Booked",0.35,"Demo Completed",0.5,"Proposal",0.65,"Negotiation",0.8,"Closed Won",1,0))</f>
        <v/>
      </c>
      <c r="H379" s="16" t="n"/>
      <c r="I379" s="16" t="n"/>
      <c r="J379" s="16" t="n"/>
      <c r="K379" s="13" t="n"/>
      <c r="L379" s="13" t="n"/>
      <c r="M379" s="13" t="n"/>
    </row>
    <row r="380" ht="15.75" customHeight="1" s="19">
      <c r="G380" s="2">
        <f>IF(F380="","",SWITCH(F380,"Qualified",0.1,"Discovery",0.2,"Demo Booked",0.35,"Demo Completed",0.5,"Proposal",0.65,"Negotiation",0.8,"Closed Won",1,0))</f>
        <v/>
      </c>
      <c r="H380" s="16" t="n"/>
      <c r="I380" s="16" t="n"/>
      <c r="J380" s="16" t="n"/>
      <c r="K380" s="13" t="n"/>
      <c r="L380" s="13" t="n"/>
      <c r="M380" s="13" t="n"/>
    </row>
    <row r="381" ht="15.75" customHeight="1" s="19">
      <c r="G381" s="2">
        <f>IF(F381="","",SWITCH(F381,"Qualified",0.1,"Discovery",0.2,"Demo Booked",0.35,"Demo Completed",0.5,"Proposal",0.65,"Negotiation",0.8,"Closed Won",1,0))</f>
        <v/>
      </c>
      <c r="H381" s="16" t="n"/>
      <c r="I381" s="16" t="n"/>
      <c r="J381" s="16" t="n"/>
      <c r="K381" s="13" t="n"/>
      <c r="L381" s="13" t="n"/>
      <c r="M381" s="13" t="n"/>
    </row>
    <row r="382" ht="15.75" customHeight="1" s="19">
      <c r="G382" s="2">
        <f>IF(F382="","",SWITCH(F382,"Qualified",0.1,"Discovery",0.2,"Demo Booked",0.35,"Demo Completed",0.5,"Proposal",0.65,"Negotiation",0.8,"Closed Won",1,0))</f>
        <v/>
      </c>
      <c r="H382" s="16" t="n"/>
      <c r="I382" s="16" t="n"/>
      <c r="J382" s="16" t="n"/>
      <c r="K382" s="13" t="n"/>
      <c r="L382" s="13" t="n"/>
      <c r="M382" s="13" t="n"/>
    </row>
    <row r="383" ht="15.75" customHeight="1" s="19">
      <c r="G383" s="2">
        <f>IF(F383="","",SWITCH(F383,"Qualified",0.1,"Discovery",0.2,"Demo Booked",0.35,"Demo Completed",0.5,"Proposal",0.65,"Negotiation",0.8,"Closed Won",1,0))</f>
        <v/>
      </c>
      <c r="H383" s="16" t="n"/>
      <c r="I383" s="16" t="n"/>
      <c r="J383" s="16" t="n"/>
      <c r="K383" s="13" t="n"/>
      <c r="L383" s="13" t="n"/>
      <c r="M383" s="13" t="n"/>
    </row>
    <row r="384" ht="15.75" customHeight="1" s="19">
      <c r="G384" s="2">
        <f>IF(F384="","",SWITCH(F384,"Qualified",0.1,"Discovery",0.2,"Demo Booked",0.35,"Demo Completed",0.5,"Proposal",0.65,"Negotiation",0.8,"Closed Won",1,0))</f>
        <v/>
      </c>
      <c r="H384" s="16" t="n"/>
      <c r="I384" s="16" t="n"/>
      <c r="J384" s="16" t="n"/>
      <c r="K384" s="13" t="n"/>
      <c r="L384" s="13" t="n"/>
      <c r="M384" s="13" t="n"/>
    </row>
    <row r="385" ht="15.75" customHeight="1" s="19">
      <c r="G385" s="2">
        <f>IF(F385="","",SWITCH(F385,"Qualified",0.1,"Discovery",0.2,"Demo Booked",0.35,"Demo Completed",0.5,"Proposal",0.65,"Negotiation",0.8,"Closed Won",1,0))</f>
        <v/>
      </c>
      <c r="H385" s="16" t="n"/>
      <c r="I385" s="16" t="n"/>
      <c r="J385" s="16" t="n"/>
      <c r="K385" s="13" t="n"/>
      <c r="L385" s="13" t="n"/>
      <c r="M385" s="13" t="n"/>
    </row>
    <row r="386" ht="15.75" customHeight="1" s="19">
      <c r="G386" s="2">
        <f>IF(F386="","",SWITCH(F386,"Qualified",0.1,"Discovery",0.2,"Demo Booked",0.35,"Demo Completed",0.5,"Proposal",0.65,"Negotiation",0.8,"Closed Won",1,0))</f>
        <v/>
      </c>
      <c r="H386" s="16" t="n"/>
      <c r="I386" s="16" t="n"/>
      <c r="J386" s="16" t="n"/>
      <c r="K386" s="13" t="n"/>
      <c r="L386" s="13" t="n"/>
      <c r="M386" s="13" t="n"/>
    </row>
    <row r="387" ht="15.75" customHeight="1" s="19">
      <c r="G387" s="2">
        <f>IF(F387="","",SWITCH(F387,"Qualified",0.1,"Discovery",0.2,"Demo Booked",0.35,"Demo Completed",0.5,"Proposal",0.65,"Negotiation",0.8,"Closed Won",1,0))</f>
        <v/>
      </c>
      <c r="H387" s="16" t="n"/>
      <c r="I387" s="16" t="n"/>
      <c r="J387" s="16" t="n"/>
      <c r="K387" s="13" t="n"/>
      <c r="L387" s="13" t="n"/>
      <c r="M387" s="13" t="n"/>
    </row>
    <row r="388" ht="15.75" customHeight="1" s="19">
      <c r="G388" s="2">
        <f>IF(F388="","",SWITCH(F388,"Qualified",0.1,"Discovery",0.2,"Demo Booked",0.35,"Demo Completed",0.5,"Proposal",0.65,"Negotiation",0.8,"Closed Won",1,0))</f>
        <v/>
      </c>
      <c r="H388" s="16" t="n"/>
      <c r="I388" s="16" t="n"/>
      <c r="J388" s="16" t="n"/>
      <c r="K388" s="13" t="n"/>
      <c r="L388" s="13" t="n"/>
      <c r="M388" s="13" t="n"/>
    </row>
    <row r="389" ht="15.75" customHeight="1" s="19">
      <c r="G389" s="2">
        <f>IF(F389="","",SWITCH(F389,"Qualified",0.1,"Discovery",0.2,"Demo Booked",0.35,"Demo Completed",0.5,"Proposal",0.65,"Negotiation",0.8,"Closed Won",1,0))</f>
        <v/>
      </c>
      <c r="H389" s="16" t="n"/>
      <c r="I389" s="16" t="n"/>
      <c r="J389" s="16" t="n"/>
      <c r="K389" s="13" t="n"/>
      <c r="L389" s="13" t="n"/>
      <c r="M389" s="13" t="n"/>
    </row>
    <row r="390" ht="15.75" customHeight="1" s="19">
      <c r="G390" s="2">
        <f>IF(F390="","",SWITCH(F390,"Qualified",0.1,"Discovery",0.2,"Demo Booked",0.35,"Demo Completed",0.5,"Proposal",0.65,"Negotiation",0.8,"Closed Won",1,0))</f>
        <v/>
      </c>
      <c r="H390" s="16" t="n"/>
      <c r="I390" s="16" t="n"/>
      <c r="J390" s="16" t="n"/>
      <c r="K390" s="13" t="n"/>
      <c r="L390" s="13" t="n"/>
      <c r="M390" s="13" t="n"/>
    </row>
    <row r="391" ht="15.75" customHeight="1" s="19">
      <c r="G391" s="2">
        <f>IF(F391="","",SWITCH(F391,"Qualified",0.1,"Discovery",0.2,"Demo Booked",0.35,"Demo Completed",0.5,"Proposal",0.65,"Negotiation",0.8,"Closed Won",1,0))</f>
        <v/>
      </c>
      <c r="H391" s="16" t="n"/>
      <c r="I391" s="16" t="n"/>
      <c r="J391" s="16" t="n"/>
      <c r="K391" s="13" t="n"/>
      <c r="L391" s="13" t="n"/>
      <c r="M391" s="13" t="n"/>
    </row>
    <row r="392" ht="15.75" customHeight="1" s="19">
      <c r="G392" s="2">
        <f>IF(F392="","",SWITCH(F392,"Qualified",0.1,"Discovery",0.2,"Demo Booked",0.35,"Demo Completed",0.5,"Proposal",0.65,"Negotiation",0.8,"Closed Won",1,0))</f>
        <v/>
      </c>
      <c r="H392" s="16" t="n"/>
      <c r="I392" s="16" t="n"/>
      <c r="J392" s="16" t="n"/>
      <c r="K392" s="13" t="n"/>
      <c r="L392" s="13" t="n"/>
      <c r="M392" s="13" t="n"/>
    </row>
    <row r="393" ht="15.75" customHeight="1" s="19">
      <c r="G393" s="2">
        <f>IF(F393="","",SWITCH(F393,"Qualified",0.1,"Discovery",0.2,"Demo Booked",0.35,"Demo Completed",0.5,"Proposal",0.65,"Negotiation",0.8,"Closed Won",1,0))</f>
        <v/>
      </c>
      <c r="H393" s="16" t="n"/>
      <c r="I393" s="16" t="n"/>
      <c r="J393" s="16" t="n"/>
      <c r="K393" s="13" t="n"/>
      <c r="L393" s="13" t="n"/>
      <c r="M393" s="13" t="n"/>
    </row>
    <row r="394" ht="15.75" customHeight="1" s="19">
      <c r="G394" s="2">
        <f>IF(F394="","",SWITCH(F394,"Qualified",0.1,"Discovery",0.2,"Demo Booked",0.35,"Demo Completed",0.5,"Proposal",0.65,"Negotiation",0.8,"Closed Won",1,0))</f>
        <v/>
      </c>
      <c r="H394" s="16" t="n"/>
      <c r="I394" s="16" t="n"/>
      <c r="J394" s="16" t="n"/>
      <c r="K394" s="13" t="n"/>
      <c r="L394" s="13" t="n"/>
      <c r="M394" s="13" t="n"/>
    </row>
    <row r="395" ht="15.75" customHeight="1" s="19">
      <c r="G395" s="2">
        <f>IF(F395="","",SWITCH(F395,"Qualified",0.1,"Discovery",0.2,"Demo Booked",0.35,"Demo Completed",0.5,"Proposal",0.65,"Negotiation",0.8,"Closed Won",1,0))</f>
        <v/>
      </c>
      <c r="H395" s="16" t="n"/>
      <c r="I395" s="16" t="n"/>
      <c r="J395" s="16" t="n"/>
      <c r="K395" s="13" t="n"/>
      <c r="L395" s="13" t="n"/>
      <c r="M395" s="13" t="n"/>
    </row>
    <row r="396" ht="15.75" customHeight="1" s="19">
      <c r="G396" s="2">
        <f>IF(F396="","",SWITCH(F396,"Qualified",0.1,"Discovery",0.2,"Demo Booked",0.35,"Demo Completed",0.5,"Proposal",0.65,"Negotiation",0.8,"Closed Won",1,0))</f>
        <v/>
      </c>
      <c r="H396" s="16" t="n"/>
      <c r="I396" s="16" t="n"/>
      <c r="J396" s="16" t="n"/>
      <c r="K396" s="13" t="n"/>
      <c r="L396" s="13" t="n"/>
      <c r="M396" s="13" t="n"/>
    </row>
    <row r="397" ht="15.75" customHeight="1" s="19">
      <c r="G397" s="2">
        <f>IF(F397="","",SWITCH(F397,"Qualified",0.1,"Discovery",0.2,"Demo Booked",0.35,"Demo Completed",0.5,"Proposal",0.65,"Negotiation",0.8,"Closed Won",1,0))</f>
        <v/>
      </c>
      <c r="H397" s="16" t="n"/>
      <c r="I397" s="16" t="n"/>
      <c r="J397" s="16" t="n"/>
      <c r="K397" s="13" t="n"/>
      <c r="L397" s="13" t="n"/>
      <c r="M397" s="13" t="n"/>
    </row>
    <row r="398" ht="15.75" customHeight="1" s="19">
      <c r="G398" s="2">
        <f>IF(F398="","",SWITCH(F398,"Qualified",0.1,"Discovery",0.2,"Demo Booked",0.35,"Demo Completed",0.5,"Proposal",0.65,"Negotiation",0.8,"Closed Won",1,0))</f>
        <v/>
      </c>
      <c r="H398" s="16" t="n"/>
      <c r="I398" s="16" t="n"/>
      <c r="J398" s="16" t="n"/>
      <c r="K398" s="13" t="n"/>
      <c r="L398" s="13" t="n"/>
      <c r="M398" s="13" t="n"/>
    </row>
    <row r="399" ht="15.75" customHeight="1" s="19">
      <c r="G399" s="2">
        <f>IF(F399="","",SWITCH(F399,"Qualified",0.1,"Discovery",0.2,"Demo Booked",0.35,"Demo Completed",0.5,"Proposal",0.65,"Negotiation",0.8,"Closed Won",1,0))</f>
        <v/>
      </c>
      <c r="H399" s="16" t="n"/>
      <c r="I399" s="16" t="n"/>
      <c r="J399" s="16" t="n"/>
      <c r="K399" s="13" t="n"/>
      <c r="L399" s="13" t="n"/>
      <c r="M399" s="13" t="n"/>
    </row>
    <row r="400" ht="15.75" customHeight="1" s="19">
      <c r="G400" s="2">
        <f>IF(F400="","",SWITCH(F400,"Qualified",0.1,"Discovery",0.2,"Demo Booked",0.35,"Demo Completed",0.5,"Proposal",0.65,"Negotiation",0.8,"Closed Won",1,0))</f>
        <v/>
      </c>
      <c r="H400" s="16" t="n"/>
      <c r="I400" s="16" t="n"/>
      <c r="J400" s="16" t="n"/>
      <c r="K400" s="13" t="n"/>
      <c r="L400" s="13" t="n"/>
      <c r="M400" s="13" t="n"/>
    </row>
    <row r="401" ht="15.75" customHeight="1" s="19">
      <c r="G401" s="2">
        <f>IF(F401="","",SWITCH(F401,"Qualified",0.1,"Discovery",0.2,"Demo Booked",0.35,"Demo Completed",0.5,"Proposal",0.65,"Negotiation",0.8,"Closed Won",1,0))</f>
        <v/>
      </c>
      <c r="H401" s="16" t="n"/>
      <c r="I401" s="16" t="n"/>
      <c r="J401" s="16" t="n"/>
      <c r="K401" s="13" t="n"/>
      <c r="L401" s="13" t="n"/>
      <c r="M401" s="13" t="n"/>
    </row>
    <row r="402" ht="15.75" customHeight="1" s="19">
      <c r="G402" s="2">
        <f>IF(F402="","",SWITCH(F402,"Qualified",0.1,"Discovery",0.2,"Demo Booked",0.35,"Demo Completed",0.5,"Proposal",0.65,"Negotiation",0.8,"Closed Won",1,0))</f>
        <v/>
      </c>
      <c r="H402" s="16" t="n"/>
      <c r="I402" s="16" t="n"/>
      <c r="J402" s="16" t="n"/>
      <c r="K402" s="13" t="n"/>
      <c r="L402" s="13" t="n"/>
      <c r="M402" s="13" t="n"/>
    </row>
    <row r="403" ht="15.75" customHeight="1" s="19">
      <c r="G403" s="2">
        <f>IF(F403="","",SWITCH(F403,"Qualified",0.1,"Discovery",0.2,"Demo Booked",0.35,"Demo Completed",0.5,"Proposal",0.65,"Negotiation",0.8,"Closed Won",1,0))</f>
        <v/>
      </c>
      <c r="H403" s="16" t="n"/>
      <c r="I403" s="16" t="n"/>
      <c r="J403" s="16" t="n"/>
      <c r="K403" s="13" t="n"/>
      <c r="L403" s="13" t="n"/>
      <c r="M403" s="13" t="n"/>
    </row>
    <row r="404" ht="15.75" customHeight="1" s="19">
      <c r="G404" s="2">
        <f>IF(F404="","",SWITCH(F404,"Qualified",0.1,"Discovery",0.2,"Demo Booked",0.35,"Demo Completed",0.5,"Proposal",0.65,"Negotiation",0.8,"Closed Won",1,0))</f>
        <v/>
      </c>
      <c r="H404" s="16" t="n"/>
      <c r="I404" s="16" t="n"/>
      <c r="J404" s="16" t="n"/>
      <c r="K404" s="13" t="n"/>
      <c r="L404" s="13" t="n"/>
      <c r="M404" s="13" t="n"/>
    </row>
    <row r="405" ht="15.75" customHeight="1" s="19">
      <c r="G405" s="2">
        <f>IF(F405="","",SWITCH(F405,"Qualified",0.1,"Discovery",0.2,"Demo Booked",0.35,"Demo Completed",0.5,"Proposal",0.65,"Negotiation",0.8,"Closed Won",1,0))</f>
        <v/>
      </c>
      <c r="H405" s="16" t="n"/>
      <c r="I405" s="16" t="n"/>
      <c r="J405" s="16" t="n"/>
      <c r="K405" s="13" t="n"/>
      <c r="L405" s="13" t="n"/>
      <c r="M405" s="13" t="n"/>
    </row>
    <row r="406" ht="15.75" customHeight="1" s="19">
      <c r="G406" s="2">
        <f>IF(F406="","",SWITCH(F406,"Qualified",0.1,"Discovery",0.2,"Demo Booked",0.35,"Demo Completed",0.5,"Proposal",0.65,"Negotiation",0.8,"Closed Won",1,0))</f>
        <v/>
      </c>
      <c r="H406" s="16" t="n"/>
      <c r="I406" s="16" t="n"/>
      <c r="J406" s="16" t="n"/>
      <c r="K406" s="13" t="n"/>
      <c r="L406" s="13" t="n"/>
      <c r="M406" s="13" t="n"/>
    </row>
    <row r="407" ht="15.75" customHeight="1" s="19">
      <c r="G407" s="2">
        <f>IF(F407="","",SWITCH(F407,"Qualified",0.1,"Discovery",0.2,"Demo Booked",0.35,"Demo Completed",0.5,"Proposal",0.65,"Negotiation",0.8,"Closed Won",1,0))</f>
        <v/>
      </c>
      <c r="H407" s="16" t="n"/>
      <c r="I407" s="16" t="n"/>
      <c r="J407" s="16" t="n"/>
      <c r="K407" s="13" t="n"/>
      <c r="L407" s="13" t="n"/>
      <c r="M407" s="13" t="n"/>
    </row>
    <row r="408" ht="15.75" customHeight="1" s="19">
      <c r="G408" s="2">
        <f>IF(F408="","",SWITCH(F408,"Qualified",0.1,"Discovery",0.2,"Demo Booked",0.35,"Demo Completed",0.5,"Proposal",0.65,"Negotiation",0.8,"Closed Won",1,0))</f>
        <v/>
      </c>
      <c r="H408" s="16" t="n"/>
      <c r="I408" s="16" t="n"/>
      <c r="J408" s="16" t="n"/>
      <c r="K408" s="13" t="n"/>
      <c r="L408" s="13" t="n"/>
      <c r="M408" s="13" t="n"/>
    </row>
    <row r="409" ht="15.75" customHeight="1" s="19">
      <c r="G409" s="2">
        <f>IF(F409="","",SWITCH(F409,"Qualified",0.1,"Discovery",0.2,"Demo Booked",0.35,"Demo Completed",0.5,"Proposal",0.65,"Negotiation",0.8,"Closed Won",1,0))</f>
        <v/>
      </c>
      <c r="H409" s="16" t="n"/>
      <c r="I409" s="16" t="n"/>
      <c r="J409" s="16" t="n"/>
      <c r="K409" s="13" t="n"/>
      <c r="L409" s="13" t="n"/>
      <c r="M409" s="13" t="n"/>
    </row>
    <row r="410" ht="15.75" customHeight="1" s="19">
      <c r="G410" s="2">
        <f>IF(F410="","",SWITCH(F410,"Qualified",0.1,"Discovery",0.2,"Demo Booked",0.35,"Demo Completed",0.5,"Proposal",0.65,"Negotiation",0.8,"Closed Won",1,0))</f>
        <v/>
      </c>
      <c r="H410" s="16" t="n"/>
      <c r="I410" s="16" t="n"/>
      <c r="J410" s="16" t="n"/>
      <c r="K410" s="13" t="n"/>
      <c r="L410" s="13" t="n"/>
      <c r="M410" s="13" t="n"/>
    </row>
    <row r="411" ht="15.75" customHeight="1" s="19">
      <c r="G411" s="2">
        <f>IF(F411="","",SWITCH(F411,"Qualified",0.1,"Discovery",0.2,"Demo Booked",0.35,"Demo Completed",0.5,"Proposal",0.65,"Negotiation",0.8,"Closed Won",1,0))</f>
        <v/>
      </c>
      <c r="H411" s="16" t="n"/>
      <c r="I411" s="16" t="n"/>
      <c r="J411" s="16" t="n"/>
      <c r="K411" s="13" t="n"/>
      <c r="L411" s="13" t="n"/>
      <c r="M411" s="13" t="n"/>
    </row>
    <row r="412" ht="15.75" customHeight="1" s="19">
      <c r="G412" s="2">
        <f>IF(F412="","",SWITCH(F412,"Qualified",0.1,"Discovery",0.2,"Demo Booked",0.35,"Demo Completed",0.5,"Proposal",0.65,"Negotiation",0.8,"Closed Won",1,0))</f>
        <v/>
      </c>
      <c r="H412" s="16" t="n"/>
      <c r="I412" s="16" t="n"/>
      <c r="J412" s="16" t="n"/>
      <c r="K412" s="13" t="n"/>
      <c r="L412" s="13" t="n"/>
      <c r="M412" s="13" t="n"/>
    </row>
    <row r="413" ht="15.75" customHeight="1" s="19">
      <c r="G413" s="2">
        <f>IF(F413="","",SWITCH(F413,"Qualified",0.1,"Discovery",0.2,"Demo Booked",0.35,"Demo Completed",0.5,"Proposal",0.65,"Negotiation",0.8,"Closed Won",1,0))</f>
        <v/>
      </c>
      <c r="H413" s="16" t="n"/>
      <c r="I413" s="16" t="n"/>
      <c r="J413" s="16" t="n"/>
      <c r="K413" s="13" t="n"/>
      <c r="L413" s="13" t="n"/>
      <c r="M413" s="13" t="n"/>
    </row>
    <row r="414" ht="15.75" customHeight="1" s="19">
      <c r="G414" s="2">
        <f>IF(F414="","",SWITCH(F414,"Qualified",0.1,"Discovery",0.2,"Demo Booked",0.35,"Demo Completed",0.5,"Proposal",0.65,"Negotiation",0.8,"Closed Won",1,0))</f>
        <v/>
      </c>
      <c r="H414" s="16" t="n"/>
      <c r="I414" s="16" t="n"/>
      <c r="J414" s="16" t="n"/>
      <c r="K414" s="13" t="n"/>
      <c r="L414" s="13" t="n"/>
      <c r="M414" s="13" t="n"/>
    </row>
    <row r="415" ht="15.75" customHeight="1" s="19">
      <c r="G415" s="2">
        <f>IF(F415="","",SWITCH(F415,"Qualified",0.1,"Discovery",0.2,"Demo Booked",0.35,"Demo Completed",0.5,"Proposal",0.65,"Negotiation",0.8,"Closed Won",1,0))</f>
        <v/>
      </c>
      <c r="H415" s="16" t="n"/>
      <c r="I415" s="16" t="n"/>
      <c r="J415" s="16" t="n"/>
      <c r="K415" s="13" t="n"/>
      <c r="L415" s="13" t="n"/>
      <c r="M415" s="13" t="n"/>
    </row>
    <row r="416" ht="15.75" customHeight="1" s="19">
      <c r="G416" s="2">
        <f>IF(F416="","",SWITCH(F416,"Qualified",0.1,"Discovery",0.2,"Demo Booked",0.35,"Demo Completed",0.5,"Proposal",0.65,"Negotiation",0.8,"Closed Won",1,0))</f>
        <v/>
      </c>
      <c r="H416" s="16" t="n"/>
      <c r="I416" s="16" t="n"/>
      <c r="J416" s="16" t="n"/>
      <c r="K416" s="13" t="n"/>
      <c r="L416" s="13" t="n"/>
      <c r="M416" s="13" t="n"/>
    </row>
    <row r="417" ht="15.75" customHeight="1" s="19">
      <c r="G417" s="2">
        <f>IF(F417="","",SWITCH(F417,"Qualified",0.1,"Discovery",0.2,"Demo Booked",0.35,"Demo Completed",0.5,"Proposal",0.65,"Negotiation",0.8,"Closed Won",1,0))</f>
        <v/>
      </c>
      <c r="H417" s="16" t="n"/>
      <c r="I417" s="16" t="n"/>
      <c r="J417" s="16" t="n"/>
      <c r="K417" s="13" t="n"/>
      <c r="L417" s="13" t="n"/>
      <c r="M417" s="13" t="n"/>
    </row>
    <row r="418" ht="15.75" customHeight="1" s="19">
      <c r="G418" s="2">
        <f>IF(F418="","",SWITCH(F418,"Qualified",0.1,"Discovery",0.2,"Demo Booked",0.35,"Demo Completed",0.5,"Proposal",0.65,"Negotiation",0.8,"Closed Won",1,0))</f>
        <v/>
      </c>
      <c r="H418" s="16" t="n"/>
      <c r="I418" s="16" t="n"/>
      <c r="J418" s="16" t="n"/>
      <c r="K418" s="13" t="n"/>
      <c r="L418" s="13" t="n"/>
      <c r="M418" s="13" t="n"/>
    </row>
    <row r="419" ht="15.75" customHeight="1" s="19">
      <c r="G419" s="2">
        <f>IF(F419="","",SWITCH(F419,"Qualified",0.1,"Discovery",0.2,"Demo Booked",0.35,"Demo Completed",0.5,"Proposal",0.65,"Negotiation",0.8,"Closed Won",1,0))</f>
        <v/>
      </c>
      <c r="H419" s="16" t="n"/>
      <c r="I419" s="16" t="n"/>
      <c r="J419" s="16" t="n"/>
      <c r="K419" s="13" t="n"/>
      <c r="L419" s="13" t="n"/>
      <c r="M419" s="13" t="n"/>
    </row>
    <row r="420" ht="15.75" customHeight="1" s="19">
      <c r="G420" s="2">
        <f>IF(F420="","",SWITCH(F420,"Qualified",0.1,"Discovery",0.2,"Demo Booked",0.35,"Demo Completed",0.5,"Proposal",0.65,"Negotiation",0.8,"Closed Won",1,0))</f>
        <v/>
      </c>
      <c r="H420" s="16" t="n"/>
      <c r="I420" s="16" t="n"/>
      <c r="J420" s="16" t="n"/>
      <c r="K420" s="13" t="n"/>
      <c r="L420" s="13" t="n"/>
      <c r="M420" s="13" t="n"/>
    </row>
    <row r="421" ht="15.75" customHeight="1" s="19">
      <c r="G421" s="2">
        <f>IF(F421="","",SWITCH(F421,"Qualified",0.1,"Discovery",0.2,"Demo Booked",0.35,"Demo Completed",0.5,"Proposal",0.65,"Negotiation",0.8,"Closed Won",1,0))</f>
        <v/>
      </c>
      <c r="H421" s="16" t="n"/>
      <c r="I421" s="16" t="n"/>
      <c r="J421" s="16" t="n"/>
      <c r="K421" s="13" t="n"/>
      <c r="L421" s="13" t="n"/>
      <c r="M421" s="13" t="n"/>
    </row>
    <row r="422" ht="15.75" customHeight="1" s="19">
      <c r="G422" s="2">
        <f>IF(F422="","",SWITCH(F422,"Qualified",0.1,"Discovery",0.2,"Demo Booked",0.35,"Demo Completed",0.5,"Proposal",0.65,"Negotiation",0.8,"Closed Won",1,0))</f>
        <v/>
      </c>
      <c r="H422" s="16" t="n"/>
      <c r="I422" s="16" t="n"/>
      <c r="J422" s="16" t="n"/>
      <c r="K422" s="13" t="n"/>
      <c r="L422" s="13" t="n"/>
      <c r="M422" s="13" t="n"/>
    </row>
    <row r="423" ht="15.75" customHeight="1" s="19">
      <c r="G423" s="2">
        <f>IF(F423="","",SWITCH(F423,"Qualified",0.1,"Discovery",0.2,"Demo Booked",0.35,"Demo Completed",0.5,"Proposal",0.65,"Negotiation",0.8,"Closed Won",1,0))</f>
        <v/>
      </c>
      <c r="H423" s="16" t="n"/>
      <c r="I423" s="16" t="n"/>
      <c r="J423" s="16" t="n"/>
      <c r="K423" s="13" t="n"/>
      <c r="L423" s="13" t="n"/>
      <c r="M423" s="13" t="n"/>
    </row>
    <row r="424" ht="15.75" customHeight="1" s="19">
      <c r="G424" s="2">
        <f>IF(F424="","",SWITCH(F424,"Qualified",0.1,"Discovery",0.2,"Demo Booked",0.35,"Demo Completed",0.5,"Proposal",0.65,"Negotiation",0.8,"Closed Won",1,0))</f>
        <v/>
      </c>
      <c r="H424" s="16" t="n"/>
      <c r="I424" s="16" t="n"/>
      <c r="J424" s="16" t="n"/>
      <c r="K424" s="13" t="n"/>
      <c r="L424" s="13" t="n"/>
      <c r="M424" s="13" t="n"/>
    </row>
    <row r="425" ht="15.75" customHeight="1" s="19">
      <c r="G425" s="2">
        <f>IF(F425="","",SWITCH(F425,"Qualified",0.1,"Discovery",0.2,"Demo Booked",0.35,"Demo Completed",0.5,"Proposal",0.65,"Negotiation",0.8,"Closed Won",1,0))</f>
        <v/>
      </c>
      <c r="H425" s="16" t="n"/>
      <c r="I425" s="16" t="n"/>
      <c r="J425" s="16" t="n"/>
      <c r="K425" s="13" t="n"/>
      <c r="L425" s="13" t="n"/>
      <c r="M425" s="13" t="n"/>
    </row>
    <row r="426" ht="15.75" customHeight="1" s="19">
      <c r="G426" s="2">
        <f>IF(F426="","",SWITCH(F426,"Qualified",0.1,"Discovery",0.2,"Demo Booked",0.35,"Demo Completed",0.5,"Proposal",0.65,"Negotiation",0.8,"Closed Won",1,0))</f>
        <v/>
      </c>
      <c r="H426" s="16" t="n"/>
      <c r="I426" s="16" t="n"/>
      <c r="J426" s="16" t="n"/>
      <c r="K426" s="13" t="n"/>
      <c r="L426" s="13" t="n"/>
      <c r="M426" s="13" t="n"/>
    </row>
    <row r="427" ht="15.75" customHeight="1" s="19">
      <c r="G427" s="2">
        <f>IF(F427="","",SWITCH(F427,"Qualified",0.1,"Discovery",0.2,"Demo Booked",0.35,"Demo Completed",0.5,"Proposal",0.65,"Negotiation",0.8,"Closed Won",1,0))</f>
        <v/>
      </c>
      <c r="H427" s="16" t="n"/>
      <c r="I427" s="16" t="n"/>
      <c r="J427" s="16" t="n"/>
      <c r="K427" s="13" t="n"/>
      <c r="L427" s="13" t="n"/>
      <c r="M427" s="13" t="n"/>
    </row>
    <row r="428" ht="15.75" customHeight="1" s="19">
      <c r="G428" s="2">
        <f>IF(F428="","",SWITCH(F428,"Qualified",0.1,"Discovery",0.2,"Demo Booked",0.35,"Demo Completed",0.5,"Proposal",0.65,"Negotiation",0.8,"Closed Won",1,0))</f>
        <v/>
      </c>
      <c r="H428" s="16" t="n"/>
      <c r="I428" s="16" t="n"/>
      <c r="J428" s="16" t="n"/>
      <c r="K428" s="13" t="n"/>
      <c r="L428" s="13" t="n"/>
      <c r="M428" s="13" t="n"/>
    </row>
    <row r="429" ht="15.75" customHeight="1" s="19">
      <c r="G429" s="2">
        <f>IF(F429="","",SWITCH(F429,"Qualified",0.1,"Discovery",0.2,"Demo Booked",0.35,"Demo Completed",0.5,"Proposal",0.65,"Negotiation",0.8,"Closed Won",1,0))</f>
        <v/>
      </c>
      <c r="H429" s="16" t="n"/>
      <c r="I429" s="16" t="n"/>
      <c r="J429" s="16" t="n"/>
      <c r="K429" s="13" t="n"/>
      <c r="L429" s="13" t="n"/>
      <c r="M429" s="13" t="n"/>
    </row>
    <row r="430" ht="15.75" customHeight="1" s="19">
      <c r="G430" s="2">
        <f>IF(F430="","",SWITCH(F430,"Qualified",0.1,"Discovery",0.2,"Demo Booked",0.35,"Demo Completed",0.5,"Proposal",0.65,"Negotiation",0.8,"Closed Won",1,0))</f>
        <v/>
      </c>
      <c r="H430" s="16" t="n"/>
      <c r="I430" s="16" t="n"/>
      <c r="J430" s="16" t="n"/>
      <c r="K430" s="13" t="n"/>
      <c r="L430" s="13" t="n"/>
      <c r="M430" s="13" t="n"/>
    </row>
    <row r="431" ht="15.75" customHeight="1" s="19">
      <c r="G431" s="2">
        <f>IF(F431="","",SWITCH(F431,"Qualified",0.1,"Discovery",0.2,"Demo Booked",0.35,"Demo Completed",0.5,"Proposal",0.65,"Negotiation",0.8,"Closed Won",1,0))</f>
        <v/>
      </c>
      <c r="H431" s="16" t="n"/>
      <c r="I431" s="16" t="n"/>
      <c r="J431" s="16" t="n"/>
      <c r="K431" s="13" t="n"/>
      <c r="L431" s="13" t="n"/>
      <c r="M431" s="13" t="n"/>
    </row>
    <row r="432" ht="15.75" customHeight="1" s="19">
      <c r="G432" s="2">
        <f>IF(F432="","",SWITCH(F432,"Qualified",0.1,"Discovery",0.2,"Demo Booked",0.35,"Demo Completed",0.5,"Proposal",0.65,"Negotiation",0.8,"Closed Won",1,0))</f>
        <v/>
      </c>
      <c r="H432" s="16" t="n"/>
      <c r="I432" s="16" t="n"/>
      <c r="J432" s="16" t="n"/>
      <c r="K432" s="13" t="n"/>
      <c r="L432" s="13" t="n"/>
      <c r="M432" s="13" t="n"/>
    </row>
    <row r="433" ht="15.75" customHeight="1" s="19">
      <c r="G433" s="2">
        <f>IF(F433="","",SWITCH(F433,"Qualified",0.1,"Discovery",0.2,"Demo Booked",0.35,"Demo Completed",0.5,"Proposal",0.65,"Negotiation",0.8,"Closed Won",1,0))</f>
        <v/>
      </c>
      <c r="H433" s="16" t="n"/>
      <c r="I433" s="16" t="n"/>
      <c r="J433" s="16" t="n"/>
      <c r="K433" s="13" t="n"/>
      <c r="L433" s="13" t="n"/>
      <c r="M433" s="13" t="n"/>
    </row>
    <row r="434" ht="15.75" customHeight="1" s="19">
      <c r="G434" s="2">
        <f>IF(F434="","",SWITCH(F434,"Qualified",0.1,"Discovery",0.2,"Demo Booked",0.35,"Demo Completed",0.5,"Proposal",0.65,"Negotiation",0.8,"Closed Won",1,0))</f>
        <v/>
      </c>
      <c r="H434" s="16" t="n"/>
      <c r="I434" s="16" t="n"/>
      <c r="J434" s="16" t="n"/>
      <c r="K434" s="13" t="n"/>
      <c r="L434" s="13" t="n"/>
      <c r="M434" s="13" t="n"/>
    </row>
    <row r="435" ht="15.75" customHeight="1" s="19">
      <c r="G435" s="2">
        <f>IF(F435="","",SWITCH(F435,"Qualified",0.1,"Discovery",0.2,"Demo Booked",0.35,"Demo Completed",0.5,"Proposal",0.65,"Negotiation",0.8,"Closed Won",1,0))</f>
        <v/>
      </c>
      <c r="H435" s="16" t="n"/>
      <c r="I435" s="16" t="n"/>
      <c r="J435" s="16" t="n"/>
      <c r="K435" s="13" t="n"/>
      <c r="L435" s="13" t="n"/>
      <c r="M435" s="13" t="n"/>
    </row>
    <row r="436" ht="15.75" customHeight="1" s="19">
      <c r="G436" s="2">
        <f>IF(F436="","",SWITCH(F436,"Qualified",0.1,"Discovery",0.2,"Demo Booked",0.35,"Demo Completed",0.5,"Proposal",0.65,"Negotiation",0.8,"Closed Won",1,0))</f>
        <v/>
      </c>
      <c r="H436" s="16" t="n"/>
      <c r="I436" s="16" t="n"/>
      <c r="J436" s="16" t="n"/>
      <c r="K436" s="13" t="n"/>
      <c r="L436" s="13" t="n"/>
      <c r="M436" s="13" t="n"/>
    </row>
    <row r="437" ht="15.75" customHeight="1" s="19">
      <c r="G437" s="2">
        <f>IF(F437="","",SWITCH(F437,"Qualified",0.1,"Discovery",0.2,"Demo Booked",0.35,"Demo Completed",0.5,"Proposal",0.65,"Negotiation",0.8,"Closed Won",1,0))</f>
        <v/>
      </c>
      <c r="H437" s="16" t="n"/>
      <c r="I437" s="16" t="n"/>
      <c r="J437" s="16" t="n"/>
      <c r="K437" s="13" t="n"/>
      <c r="L437" s="13" t="n"/>
      <c r="M437" s="13" t="n"/>
    </row>
    <row r="438" ht="15.75" customHeight="1" s="19">
      <c r="G438" s="2">
        <f>IF(F438="","",SWITCH(F438,"Qualified",0.1,"Discovery",0.2,"Demo Booked",0.35,"Demo Completed",0.5,"Proposal",0.65,"Negotiation",0.8,"Closed Won",1,0))</f>
        <v/>
      </c>
      <c r="H438" s="16" t="n"/>
      <c r="I438" s="16" t="n"/>
      <c r="J438" s="16" t="n"/>
      <c r="K438" s="13" t="n"/>
      <c r="L438" s="13" t="n"/>
      <c r="M438" s="13" t="n"/>
    </row>
    <row r="439" ht="15.75" customHeight="1" s="19">
      <c r="G439" s="2">
        <f>IF(F439="","",SWITCH(F439,"Qualified",0.1,"Discovery",0.2,"Demo Booked",0.35,"Demo Completed",0.5,"Proposal",0.65,"Negotiation",0.8,"Closed Won",1,0))</f>
        <v/>
      </c>
      <c r="H439" s="16" t="n"/>
      <c r="I439" s="16" t="n"/>
      <c r="J439" s="16" t="n"/>
      <c r="K439" s="13" t="n"/>
      <c r="L439" s="13" t="n"/>
      <c r="M439" s="13" t="n"/>
    </row>
    <row r="440" ht="15.75" customHeight="1" s="19">
      <c r="G440" s="2">
        <f>IF(F440="","",SWITCH(F440,"Qualified",0.1,"Discovery",0.2,"Demo Booked",0.35,"Demo Completed",0.5,"Proposal",0.65,"Negotiation",0.8,"Closed Won",1,0))</f>
        <v/>
      </c>
      <c r="H440" s="16" t="n"/>
      <c r="I440" s="16" t="n"/>
      <c r="J440" s="16" t="n"/>
      <c r="K440" s="13" t="n"/>
      <c r="L440" s="13" t="n"/>
      <c r="M440" s="13" t="n"/>
    </row>
    <row r="441" ht="15.75" customHeight="1" s="19">
      <c r="G441" s="2">
        <f>IF(F441="","",SWITCH(F441,"Qualified",0.1,"Discovery",0.2,"Demo Booked",0.35,"Demo Completed",0.5,"Proposal",0.65,"Negotiation",0.8,"Closed Won",1,0))</f>
        <v/>
      </c>
      <c r="H441" s="16" t="n"/>
      <c r="I441" s="16" t="n"/>
      <c r="J441" s="16" t="n"/>
      <c r="K441" s="13" t="n"/>
      <c r="L441" s="13" t="n"/>
      <c r="M441" s="13" t="n"/>
    </row>
    <row r="442" ht="15.75" customHeight="1" s="19">
      <c r="G442" s="2">
        <f>IF(F442="","",SWITCH(F442,"Qualified",0.1,"Discovery",0.2,"Demo Booked",0.35,"Demo Completed",0.5,"Proposal",0.65,"Negotiation",0.8,"Closed Won",1,0))</f>
        <v/>
      </c>
      <c r="H442" s="16" t="n"/>
      <c r="I442" s="16" t="n"/>
      <c r="J442" s="16" t="n"/>
      <c r="K442" s="13" t="n"/>
      <c r="L442" s="13" t="n"/>
      <c r="M442" s="13" t="n"/>
    </row>
    <row r="443" ht="15.75" customHeight="1" s="19">
      <c r="G443" s="2">
        <f>IF(F443="","",SWITCH(F443,"Qualified",0.1,"Discovery",0.2,"Demo Booked",0.35,"Demo Completed",0.5,"Proposal",0.65,"Negotiation",0.8,"Closed Won",1,0))</f>
        <v/>
      </c>
      <c r="H443" s="16" t="n"/>
      <c r="I443" s="16" t="n"/>
      <c r="J443" s="16" t="n"/>
      <c r="K443" s="13" t="n"/>
      <c r="L443" s="13" t="n"/>
      <c r="M443" s="13" t="n"/>
    </row>
    <row r="444" ht="15.75" customHeight="1" s="19">
      <c r="G444" s="2">
        <f>IF(F444="","",SWITCH(F444,"Qualified",0.1,"Discovery",0.2,"Demo Booked",0.35,"Demo Completed",0.5,"Proposal",0.65,"Negotiation",0.8,"Closed Won",1,0))</f>
        <v/>
      </c>
      <c r="H444" s="16" t="n"/>
      <c r="I444" s="16" t="n"/>
      <c r="J444" s="16" t="n"/>
      <c r="K444" s="13" t="n"/>
      <c r="L444" s="13" t="n"/>
      <c r="M444" s="13" t="n"/>
    </row>
    <row r="445" ht="15.75" customHeight="1" s="19">
      <c r="G445" s="2">
        <f>IF(F445="","",SWITCH(F445,"Qualified",0.1,"Discovery",0.2,"Demo Booked",0.35,"Demo Completed",0.5,"Proposal",0.65,"Negotiation",0.8,"Closed Won",1,0))</f>
        <v/>
      </c>
      <c r="H445" s="16" t="n"/>
      <c r="I445" s="16" t="n"/>
      <c r="J445" s="16" t="n"/>
      <c r="K445" s="13" t="n"/>
      <c r="L445" s="13" t="n"/>
      <c r="M445" s="13" t="n"/>
    </row>
    <row r="446" ht="15.75" customHeight="1" s="19">
      <c r="G446" s="2">
        <f>IF(F446="","",SWITCH(F446,"Qualified",0.1,"Discovery",0.2,"Demo Booked",0.35,"Demo Completed",0.5,"Proposal",0.65,"Negotiation",0.8,"Closed Won",1,0))</f>
        <v/>
      </c>
      <c r="H446" s="16" t="n"/>
      <c r="I446" s="16" t="n"/>
      <c r="J446" s="16" t="n"/>
      <c r="K446" s="13" t="n"/>
      <c r="L446" s="13" t="n"/>
      <c r="M446" s="13" t="n"/>
    </row>
    <row r="447" ht="15.75" customHeight="1" s="19">
      <c r="G447" s="2">
        <f>IF(F447="","",SWITCH(F447,"Qualified",0.1,"Discovery",0.2,"Demo Booked",0.35,"Demo Completed",0.5,"Proposal",0.65,"Negotiation",0.8,"Closed Won",1,0))</f>
        <v/>
      </c>
      <c r="H447" s="16" t="n"/>
      <c r="I447" s="16" t="n"/>
      <c r="J447" s="16" t="n"/>
      <c r="K447" s="13" t="n"/>
      <c r="L447" s="13" t="n"/>
      <c r="M447" s="13" t="n"/>
    </row>
    <row r="448" ht="15.75" customHeight="1" s="19">
      <c r="G448" s="2">
        <f>IF(F448="","",SWITCH(F448,"Qualified",0.1,"Discovery",0.2,"Demo Booked",0.35,"Demo Completed",0.5,"Proposal",0.65,"Negotiation",0.8,"Closed Won",1,0))</f>
        <v/>
      </c>
      <c r="H448" s="16" t="n"/>
      <c r="I448" s="16" t="n"/>
      <c r="J448" s="16" t="n"/>
      <c r="K448" s="13" t="n"/>
      <c r="L448" s="13" t="n"/>
      <c r="M448" s="13" t="n"/>
    </row>
    <row r="449" ht="15.75" customHeight="1" s="19">
      <c r="G449" s="2">
        <f>IF(F449="","",SWITCH(F449,"Qualified",0.1,"Discovery",0.2,"Demo Booked",0.35,"Demo Completed",0.5,"Proposal",0.65,"Negotiation",0.8,"Closed Won",1,0))</f>
        <v/>
      </c>
      <c r="H449" s="16" t="n"/>
      <c r="I449" s="16" t="n"/>
      <c r="J449" s="16" t="n"/>
      <c r="K449" s="13" t="n"/>
      <c r="L449" s="13" t="n"/>
      <c r="M449" s="13" t="n"/>
    </row>
    <row r="450" ht="15.75" customHeight="1" s="19">
      <c r="G450" s="2">
        <f>IF(F450="","",SWITCH(F450,"Qualified",0.1,"Discovery",0.2,"Demo Booked",0.35,"Demo Completed",0.5,"Proposal",0.65,"Negotiation",0.8,"Closed Won",1,0))</f>
        <v/>
      </c>
      <c r="H450" s="16" t="n"/>
      <c r="I450" s="16" t="n"/>
      <c r="J450" s="16" t="n"/>
      <c r="K450" s="13" t="n"/>
      <c r="L450" s="13" t="n"/>
      <c r="M450" s="13" t="n"/>
    </row>
    <row r="451" ht="15.75" customHeight="1" s="19">
      <c r="G451" s="2">
        <f>IF(F451="","",SWITCH(F451,"Qualified",0.1,"Discovery",0.2,"Demo Booked",0.35,"Demo Completed",0.5,"Proposal",0.65,"Negotiation",0.8,"Closed Won",1,0))</f>
        <v/>
      </c>
      <c r="H451" s="16" t="n"/>
      <c r="I451" s="16" t="n"/>
      <c r="J451" s="16" t="n"/>
      <c r="K451" s="13" t="n"/>
      <c r="L451" s="13" t="n"/>
      <c r="M451" s="13" t="n"/>
    </row>
    <row r="452" ht="15.75" customHeight="1" s="19">
      <c r="G452" s="2">
        <f>IF(F452="","",SWITCH(F452,"Qualified",0.1,"Discovery",0.2,"Demo Booked",0.35,"Demo Completed",0.5,"Proposal",0.65,"Negotiation",0.8,"Closed Won",1,0))</f>
        <v/>
      </c>
      <c r="H452" s="16" t="n"/>
      <c r="I452" s="16" t="n"/>
      <c r="J452" s="16" t="n"/>
      <c r="K452" s="13" t="n"/>
      <c r="L452" s="13" t="n"/>
      <c r="M452" s="13" t="n"/>
    </row>
    <row r="453" ht="15.75" customHeight="1" s="19">
      <c r="G453" s="2">
        <f>IF(F453="","",SWITCH(F453,"Qualified",0.1,"Discovery",0.2,"Demo Booked",0.35,"Demo Completed",0.5,"Proposal",0.65,"Negotiation",0.8,"Closed Won",1,0))</f>
        <v/>
      </c>
      <c r="H453" s="16" t="n"/>
      <c r="I453" s="16" t="n"/>
      <c r="J453" s="16" t="n"/>
      <c r="K453" s="13" t="n"/>
      <c r="L453" s="13" t="n"/>
      <c r="M453" s="13" t="n"/>
    </row>
    <row r="454" ht="15.75" customHeight="1" s="19">
      <c r="G454" s="2">
        <f>IF(F454="","",SWITCH(F454,"Qualified",0.1,"Discovery",0.2,"Demo Booked",0.35,"Demo Completed",0.5,"Proposal",0.65,"Negotiation",0.8,"Closed Won",1,0))</f>
        <v/>
      </c>
      <c r="H454" s="16" t="n"/>
      <c r="I454" s="16" t="n"/>
      <c r="J454" s="16" t="n"/>
      <c r="K454" s="13" t="n"/>
      <c r="L454" s="13" t="n"/>
      <c r="M454" s="13" t="n"/>
    </row>
    <row r="455" ht="15.75" customHeight="1" s="19">
      <c r="G455" s="2">
        <f>IF(F455="","",SWITCH(F455,"Qualified",0.1,"Discovery",0.2,"Demo Booked",0.35,"Demo Completed",0.5,"Proposal",0.65,"Negotiation",0.8,"Closed Won",1,0))</f>
        <v/>
      </c>
      <c r="H455" s="16" t="n"/>
      <c r="I455" s="16" t="n"/>
      <c r="J455" s="16" t="n"/>
      <c r="K455" s="13" t="n"/>
      <c r="L455" s="13" t="n"/>
      <c r="M455" s="13" t="n"/>
    </row>
    <row r="456" ht="15.75" customHeight="1" s="19">
      <c r="G456" s="2">
        <f>IF(F456="","",SWITCH(F456,"Qualified",0.1,"Discovery",0.2,"Demo Booked",0.35,"Demo Completed",0.5,"Proposal",0.65,"Negotiation",0.8,"Closed Won",1,0))</f>
        <v/>
      </c>
      <c r="H456" s="16" t="n"/>
      <c r="I456" s="16" t="n"/>
      <c r="J456" s="16" t="n"/>
      <c r="K456" s="13" t="n"/>
      <c r="L456" s="13" t="n"/>
      <c r="M456" s="13" t="n"/>
    </row>
    <row r="457" ht="15.75" customHeight="1" s="19">
      <c r="G457" s="2">
        <f>IF(F457="","",SWITCH(F457,"Qualified",0.1,"Discovery",0.2,"Demo Booked",0.35,"Demo Completed",0.5,"Proposal",0.65,"Negotiation",0.8,"Closed Won",1,0))</f>
        <v/>
      </c>
      <c r="H457" s="16" t="n"/>
      <c r="I457" s="16" t="n"/>
      <c r="J457" s="16" t="n"/>
      <c r="K457" s="13" t="n"/>
      <c r="L457" s="13" t="n"/>
      <c r="M457" s="13" t="n"/>
    </row>
    <row r="458" ht="15.75" customHeight="1" s="19">
      <c r="G458" s="2">
        <f>IF(F458="","",SWITCH(F458,"Qualified",0.1,"Discovery",0.2,"Demo Booked",0.35,"Demo Completed",0.5,"Proposal",0.65,"Negotiation",0.8,"Closed Won",1,0))</f>
        <v/>
      </c>
      <c r="H458" s="16" t="n"/>
      <c r="I458" s="16" t="n"/>
      <c r="J458" s="16" t="n"/>
      <c r="K458" s="13" t="n"/>
      <c r="L458" s="13" t="n"/>
      <c r="M458" s="13" t="n"/>
    </row>
    <row r="459" ht="15.75" customHeight="1" s="19">
      <c r="G459" s="2">
        <f>IF(F459="","",SWITCH(F459,"Qualified",0.1,"Discovery",0.2,"Demo Booked",0.35,"Demo Completed",0.5,"Proposal",0.65,"Negotiation",0.8,"Closed Won",1,0))</f>
        <v/>
      </c>
      <c r="H459" s="16" t="n"/>
      <c r="I459" s="16" t="n"/>
      <c r="J459" s="16" t="n"/>
      <c r="K459" s="13" t="n"/>
      <c r="L459" s="13" t="n"/>
      <c r="M459" s="13" t="n"/>
    </row>
    <row r="460" ht="15.75" customHeight="1" s="19">
      <c r="G460" s="2">
        <f>IF(F460="","",SWITCH(F460,"Qualified",0.1,"Discovery",0.2,"Demo Booked",0.35,"Demo Completed",0.5,"Proposal",0.65,"Negotiation",0.8,"Closed Won",1,0))</f>
        <v/>
      </c>
      <c r="H460" s="16" t="n"/>
      <c r="I460" s="16" t="n"/>
      <c r="J460" s="16" t="n"/>
      <c r="K460" s="13" t="n"/>
      <c r="L460" s="13" t="n"/>
      <c r="M460" s="13" t="n"/>
    </row>
    <row r="461" ht="15.75" customHeight="1" s="19">
      <c r="G461" s="2">
        <f>IF(F461="","",SWITCH(F461,"Qualified",0.1,"Discovery",0.2,"Demo Booked",0.35,"Demo Completed",0.5,"Proposal",0.65,"Negotiation",0.8,"Closed Won",1,0))</f>
        <v/>
      </c>
      <c r="H461" s="16" t="n"/>
      <c r="I461" s="16" t="n"/>
      <c r="J461" s="16" t="n"/>
      <c r="K461" s="13" t="n"/>
      <c r="L461" s="13" t="n"/>
      <c r="M461" s="13" t="n"/>
    </row>
    <row r="462" ht="15.75" customHeight="1" s="19">
      <c r="G462" s="2">
        <f>IF(F462="","",SWITCH(F462,"Qualified",0.1,"Discovery",0.2,"Demo Booked",0.35,"Demo Completed",0.5,"Proposal",0.65,"Negotiation",0.8,"Closed Won",1,0))</f>
        <v/>
      </c>
      <c r="H462" s="16" t="n"/>
      <c r="I462" s="16" t="n"/>
      <c r="J462" s="16" t="n"/>
      <c r="K462" s="13" t="n"/>
      <c r="L462" s="13" t="n"/>
      <c r="M462" s="13" t="n"/>
    </row>
    <row r="463" ht="15.75" customHeight="1" s="19">
      <c r="G463" s="2">
        <f>IF(F463="","",SWITCH(F463,"Qualified",0.1,"Discovery",0.2,"Demo Booked",0.35,"Demo Completed",0.5,"Proposal",0.65,"Negotiation",0.8,"Closed Won",1,0))</f>
        <v/>
      </c>
      <c r="H463" s="16" t="n"/>
      <c r="I463" s="16" t="n"/>
      <c r="J463" s="16" t="n"/>
      <c r="K463" s="13" t="n"/>
      <c r="L463" s="13" t="n"/>
      <c r="M463" s="13" t="n"/>
    </row>
    <row r="464" ht="15.75" customHeight="1" s="19">
      <c r="G464" s="2">
        <f>IF(F464="","",SWITCH(F464,"Qualified",0.1,"Discovery",0.2,"Demo Booked",0.35,"Demo Completed",0.5,"Proposal",0.65,"Negotiation",0.8,"Closed Won",1,0))</f>
        <v/>
      </c>
      <c r="H464" s="16" t="n"/>
      <c r="I464" s="16" t="n"/>
      <c r="J464" s="16" t="n"/>
      <c r="K464" s="13" t="n"/>
      <c r="L464" s="13" t="n"/>
      <c r="M464" s="13" t="n"/>
    </row>
    <row r="465" ht="15.75" customHeight="1" s="19">
      <c r="G465" s="2">
        <f>IF(F465="","",SWITCH(F465,"Qualified",0.1,"Discovery",0.2,"Demo Booked",0.35,"Demo Completed",0.5,"Proposal",0.65,"Negotiation",0.8,"Closed Won",1,0))</f>
        <v/>
      </c>
      <c r="H465" s="16" t="n"/>
      <c r="I465" s="16" t="n"/>
      <c r="J465" s="16" t="n"/>
      <c r="K465" s="13" t="n"/>
      <c r="L465" s="13" t="n"/>
      <c r="M465" s="13" t="n"/>
    </row>
    <row r="466" ht="15.75" customHeight="1" s="19">
      <c r="G466" s="2">
        <f>IF(F466="","",SWITCH(F466,"Qualified",0.1,"Discovery",0.2,"Demo Booked",0.35,"Demo Completed",0.5,"Proposal",0.65,"Negotiation",0.8,"Closed Won",1,0))</f>
        <v/>
      </c>
      <c r="H466" s="16" t="n"/>
      <c r="I466" s="16" t="n"/>
      <c r="J466" s="16" t="n"/>
      <c r="K466" s="13" t="n"/>
      <c r="L466" s="13" t="n"/>
      <c r="M466" s="13" t="n"/>
    </row>
    <row r="467" ht="15.75" customHeight="1" s="19">
      <c r="G467" s="2">
        <f>IF(F467="","",SWITCH(F467,"Qualified",0.1,"Discovery",0.2,"Demo Booked",0.35,"Demo Completed",0.5,"Proposal",0.65,"Negotiation",0.8,"Closed Won",1,0))</f>
        <v/>
      </c>
      <c r="H467" s="16" t="n"/>
      <c r="I467" s="16" t="n"/>
      <c r="J467" s="16" t="n"/>
      <c r="K467" s="13" t="n"/>
      <c r="L467" s="13" t="n"/>
      <c r="M467" s="13" t="n"/>
    </row>
    <row r="468" ht="15.75" customHeight="1" s="19">
      <c r="G468" s="2">
        <f>IF(F468="","",SWITCH(F468,"Qualified",0.1,"Discovery",0.2,"Demo Booked",0.35,"Demo Completed",0.5,"Proposal",0.65,"Negotiation",0.8,"Closed Won",1,0))</f>
        <v/>
      </c>
      <c r="H468" s="16" t="n"/>
      <c r="I468" s="16" t="n"/>
      <c r="J468" s="16" t="n"/>
      <c r="K468" s="13" t="n"/>
      <c r="L468" s="13" t="n"/>
      <c r="M468" s="13" t="n"/>
    </row>
    <row r="469" ht="15.75" customHeight="1" s="19">
      <c r="G469" s="2">
        <f>IF(F469="","",SWITCH(F469,"Qualified",0.1,"Discovery",0.2,"Demo Booked",0.35,"Demo Completed",0.5,"Proposal",0.65,"Negotiation",0.8,"Closed Won",1,0))</f>
        <v/>
      </c>
      <c r="H469" s="16" t="n"/>
      <c r="I469" s="16" t="n"/>
      <c r="J469" s="16" t="n"/>
      <c r="K469" s="13" t="n"/>
      <c r="L469" s="13" t="n"/>
      <c r="M469" s="13" t="n"/>
    </row>
    <row r="470" ht="15.75" customHeight="1" s="19">
      <c r="G470" s="2">
        <f>IF(F470="","",SWITCH(F470,"Qualified",0.1,"Discovery",0.2,"Demo Booked",0.35,"Demo Completed",0.5,"Proposal",0.65,"Negotiation",0.8,"Closed Won",1,0))</f>
        <v/>
      </c>
      <c r="H470" s="16" t="n"/>
      <c r="I470" s="16" t="n"/>
      <c r="J470" s="16" t="n"/>
      <c r="K470" s="13" t="n"/>
      <c r="L470" s="13" t="n"/>
      <c r="M470" s="13" t="n"/>
    </row>
    <row r="471" ht="15.75" customHeight="1" s="19">
      <c r="G471" s="2">
        <f>IF(F471="","",SWITCH(F471,"Qualified",0.1,"Discovery",0.2,"Demo Booked",0.35,"Demo Completed",0.5,"Proposal",0.65,"Negotiation",0.8,"Closed Won",1,0))</f>
        <v/>
      </c>
      <c r="H471" s="16" t="n"/>
      <c r="I471" s="16" t="n"/>
      <c r="J471" s="16" t="n"/>
      <c r="K471" s="13" t="n"/>
      <c r="L471" s="13" t="n"/>
      <c r="M471" s="13" t="n"/>
    </row>
    <row r="472" ht="15.75" customHeight="1" s="19">
      <c r="G472" s="2">
        <f>IF(F472="","",SWITCH(F472,"Qualified",0.1,"Discovery",0.2,"Demo Booked",0.35,"Demo Completed",0.5,"Proposal",0.65,"Negotiation",0.8,"Closed Won",1,0))</f>
        <v/>
      </c>
      <c r="H472" s="16" t="n"/>
      <c r="I472" s="16" t="n"/>
      <c r="J472" s="16" t="n"/>
      <c r="K472" s="13" t="n"/>
      <c r="L472" s="13" t="n"/>
      <c r="M472" s="13" t="n"/>
    </row>
    <row r="473" ht="15.75" customHeight="1" s="19">
      <c r="G473" s="2">
        <f>IF(F473="","",SWITCH(F473,"Qualified",0.1,"Discovery",0.2,"Demo Booked",0.35,"Demo Completed",0.5,"Proposal",0.65,"Negotiation",0.8,"Closed Won",1,0))</f>
        <v/>
      </c>
      <c r="H473" s="16" t="n"/>
      <c r="I473" s="16" t="n"/>
      <c r="J473" s="16" t="n"/>
      <c r="K473" s="13" t="n"/>
      <c r="L473" s="13" t="n"/>
      <c r="M473" s="13" t="n"/>
    </row>
    <row r="474" ht="15.75" customHeight="1" s="19">
      <c r="G474" s="2">
        <f>IF(F474="","",SWITCH(F474,"Qualified",0.1,"Discovery",0.2,"Demo Booked",0.35,"Demo Completed",0.5,"Proposal",0.65,"Negotiation",0.8,"Closed Won",1,0))</f>
        <v/>
      </c>
      <c r="H474" s="16" t="n"/>
      <c r="I474" s="16" t="n"/>
      <c r="J474" s="16" t="n"/>
      <c r="K474" s="13" t="n"/>
      <c r="L474" s="13" t="n"/>
      <c r="M474" s="13" t="n"/>
    </row>
    <row r="475" ht="15.75" customHeight="1" s="19">
      <c r="G475" s="2">
        <f>IF(F475="","",SWITCH(F475,"Qualified",0.1,"Discovery",0.2,"Demo Booked",0.35,"Demo Completed",0.5,"Proposal",0.65,"Negotiation",0.8,"Closed Won",1,0))</f>
        <v/>
      </c>
      <c r="H475" s="16" t="n"/>
      <c r="I475" s="16" t="n"/>
      <c r="J475" s="16" t="n"/>
      <c r="K475" s="13" t="n"/>
      <c r="L475" s="13" t="n"/>
      <c r="M475" s="13" t="n"/>
    </row>
    <row r="476" ht="15.75" customHeight="1" s="19">
      <c r="G476" s="2">
        <f>IF(F476="","",SWITCH(F476,"Qualified",0.1,"Discovery",0.2,"Demo Booked",0.35,"Demo Completed",0.5,"Proposal",0.65,"Negotiation",0.8,"Closed Won",1,0))</f>
        <v/>
      </c>
      <c r="H476" s="16" t="n"/>
      <c r="I476" s="16" t="n"/>
      <c r="J476" s="16" t="n"/>
      <c r="K476" s="13" t="n"/>
      <c r="L476" s="13" t="n"/>
      <c r="M476" s="13" t="n"/>
    </row>
    <row r="477" ht="15.75" customHeight="1" s="19">
      <c r="G477" s="2">
        <f>IF(F477="","",SWITCH(F477,"Qualified",0.1,"Discovery",0.2,"Demo Booked",0.35,"Demo Completed",0.5,"Proposal",0.65,"Negotiation",0.8,"Closed Won",1,0))</f>
        <v/>
      </c>
      <c r="H477" s="16" t="n"/>
      <c r="I477" s="16" t="n"/>
      <c r="J477" s="16" t="n"/>
      <c r="K477" s="13" t="n"/>
      <c r="L477" s="13" t="n"/>
      <c r="M477" s="13" t="n"/>
    </row>
    <row r="478" ht="15.75" customHeight="1" s="19">
      <c r="G478" s="2">
        <f>IF(F478="","",SWITCH(F478,"Qualified",0.1,"Discovery",0.2,"Demo Booked",0.35,"Demo Completed",0.5,"Proposal",0.65,"Negotiation",0.8,"Closed Won",1,0))</f>
        <v/>
      </c>
      <c r="H478" s="16" t="n"/>
      <c r="I478" s="16" t="n"/>
      <c r="J478" s="16" t="n"/>
      <c r="K478" s="13" t="n"/>
      <c r="L478" s="13" t="n"/>
      <c r="M478" s="13" t="n"/>
    </row>
    <row r="479" ht="15.75" customHeight="1" s="19">
      <c r="G479" s="2">
        <f>IF(F479="","",SWITCH(F479,"Qualified",0.1,"Discovery",0.2,"Demo Booked",0.35,"Demo Completed",0.5,"Proposal",0.65,"Negotiation",0.8,"Closed Won",1,0))</f>
        <v/>
      </c>
      <c r="H479" s="16" t="n"/>
      <c r="I479" s="16" t="n"/>
      <c r="J479" s="16" t="n"/>
      <c r="K479" s="13" t="n"/>
      <c r="L479" s="13" t="n"/>
      <c r="M479" s="13" t="n"/>
    </row>
    <row r="480" ht="15.75" customHeight="1" s="19">
      <c r="G480" s="2">
        <f>IF(F480="","",SWITCH(F480,"Qualified",0.1,"Discovery",0.2,"Demo Booked",0.35,"Demo Completed",0.5,"Proposal",0.65,"Negotiation",0.8,"Closed Won",1,0))</f>
        <v/>
      </c>
      <c r="H480" s="16" t="n"/>
      <c r="I480" s="16" t="n"/>
      <c r="J480" s="16" t="n"/>
      <c r="K480" s="13" t="n"/>
      <c r="L480" s="13" t="n"/>
      <c r="M480" s="13" t="n"/>
    </row>
    <row r="481" ht="15.75" customHeight="1" s="19">
      <c r="G481" s="2">
        <f>IF(F481="","",SWITCH(F481,"Qualified",0.1,"Discovery",0.2,"Demo Booked",0.35,"Demo Completed",0.5,"Proposal",0.65,"Negotiation",0.8,"Closed Won",1,0))</f>
        <v/>
      </c>
      <c r="H481" s="16" t="n"/>
      <c r="I481" s="16" t="n"/>
      <c r="J481" s="16" t="n"/>
      <c r="K481" s="13" t="n"/>
      <c r="L481" s="13" t="n"/>
      <c r="M481" s="13" t="n"/>
    </row>
    <row r="482" ht="15.75" customHeight="1" s="19">
      <c r="G482" s="2">
        <f>IF(F482="","",SWITCH(F482,"Qualified",0.1,"Discovery",0.2,"Demo Booked",0.35,"Demo Completed",0.5,"Proposal",0.65,"Negotiation",0.8,"Closed Won",1,0))</f>
        <v/>
      </c>
      <c r="H482" s="16" t="n"/>
      <c r="I482" s="16" t="n"/>
      <c r="J482" s="16" t="n"/>
      <c r="K482" s="13" t="n"/>
      <c r="L482" s="13" t="n"/>
      <c r="M482" s="13" t="n"/>
    </row>
    <row r="483" ht="15.75" customHeight="1" s="19">
      <c r="G483" s="2">
        <f>IF(F483="","",SWITCH(F483,"Qualified",0.1,"Discovery",0.2,"Demo Booked",0.35,"Demo Completed",0.5,"Proposal",0.65,"Negotiation",0.8,"Closed Won",1,0))</f>
        <v/>
      </c>
      <c r="H483" s="16" t="n"/>
      <c r="I483" s="16" t="n"/>
      <c r="J483" s="16" t="n"/>
      <c r="K483" s="13" t="n"/>
      <c r="L483" s="13" t="n"/>
      <c r="M483" s="13" t="n"/>
    </row>
    <row r="484" ht="15.75" customHeight="1" s="19">
      <c r="G484" s="2">
        <f>IF(F484="","",SWITCH(F484,"Qualified",0.1,"Discovery",0.2,"Demo Booked",0.35,"Demo Completed",0.5,"Proposal",0.65,"Negotiation",0.8,"Closed Won",1,0))</f>
        <v/>
      </c>
      <c r="H484" s="16" t="n"/>
      <c r="I484" s="16" t="n"/>
      <c r="J484" s="16" t="n"/>
      <c r="K484" s="13" t="n"/>
      <c r="L484" s="13" t="n"/>
      <c r="M484" s="13" t="n"/>
    </row>
    <row r="485" ht="15.75" customHeight="1" s="19">
      <c r="G485" s="2">
        <f>IF(F485="","",SWITCH(F485,"Qualified",0.1,"Discovery",0.2,"Demo Booked",0.35,"Demo Completed",0.5,"Proposal",0.65,"Negotiation",0.8,"Closed Won",1,0))</f>
        <v/>
      </c>
      <c r="H485" s="16" t="n"/>
      <c r="I485" s="16" t="n"/>
      <c r="J485" s="16" t="n"/>
      <c r="K485" s="13" t="n"/>
      <c r="L485" s="13" t="n"/>
      <c r="M485" s="13" t="n"/>
    </row>
    <row r="486" ht="15.75" customHeight="1" s="19">
      <c r="G486" s="2">
        <f>IF(F486="","",SWITCH(F486,"Qualified",0.1,"Discovery",0.2,"Demo Booked",0.35,"Demo Completed",0.5,"Proposal",0.65,"Negotiation",0.8,"Closed Won",1,0))</f>
        <v/>
      </c>
      <c r="H486" s="16" t="n"/>
      <c r="I486" s="16" t="n"/>
      <c r="J486" s="16" t="n"/>
      <c r="K486" s="13" t="n"/>
      <c r="L486" s="13" t="n"/>
      <c r="M486" s="13" t="n"/>
    </row>
    <row r="487" ht="15.75" customHeight="1" s="19">
      <c r="G487" s="2">
        <f>IF(F487="","",SWITCH(F487,"Qualified",0.1,"Discovery",0.2,"Demo Booked",0.35,"Demo Completed",0.5,"Proposal",0.65,"Negotiation",0.8,"Closed Won",1,0))</f>
        <v/>
      </c>
      <c r="H487" s="16" t="n"/>
      <c r="I487" s="16" t="n"/>
      <c r="J487" s="16" t="n"/>
      <c r="K487" s="13" t="n"/>
      <c r="L487" s="13" t="n"/>
      <c r="M487" s="13" t="n"/>
    </row>
    <row r="488" ht="15.75" customHeight="1" s="19">
      <c r="G488" s="2">
        <f>IF(F488="","",SWITCH(F488,"Qualified",0.1,"Discovery",0.2,"Demo Booked",0.35,"Demo Completed",0.5,"Proposal",0.65,"Negotiation",0.8,"Closed Won",1,0))</f>
        <v/>
      </c>
      <c r="H488" s="16" t="n"/>
      <c r="I488" s="16" t="n"/>
      <c r="J488" s="16" t="n"/>
      <c r="K488" s="13" t="n"/>
      <c r="L488" s="13" t="n"/>
      <c r="M488" s="13" t="n"/>
    </row>
    <row r="489" ht="15.75" customHeight="1" s="19">
      <c r="G489" s="2">
        <f>IF(F489="","",SWITCH(F489,"Qualified",0.1,"Discovery",0.2,"Demo Booked",0.35,"Demo Completed",0.5,"Proposal",0.65,"Negotiation",0.8,"Closed Won",1,0))</f>
        <v/>
      </c>
      <c r="H489" s="16" t="n"/>
      <c r="I489" s="16" t="n"/>
      <c r="J489" s="16" t="n"/>
      <c r="K489" s="13" t="n"/>
      <c r="L489" s="13" t="n"/>
      <c r="M489" s="13" t="n"/>
    </row>
    <row r="490" ht="15.75" customHeight="1" s="19">
      <c r="G490" s="2">
        <f>IF(F490="","",SWITCH(F490,"Qualified",0.1,"Discovery",0.2,"Demo Booked",0.35,"Demo Completed",0.5,"Proposal",0.65,"Negotiation",0.8,"Closed Won",1,0))</f>
        <v/>
      </c>
      <c r="H490" s="16" t="n"/>
      <c r="I490" s="16" t="n"/>
      <c r="J490" s="16" t="n"/>
      <c r="K490" s="13" t="n"/>
      <c r="L490" s="13" t="n"/>
      <c r="M490" s="13" t="n"/>
    </row>
    <row r="491" ht="15.75" customHeight="1" s="19">
      <c r="G491" s="2">
        <f>IF(F491="","",SWITCH(F491,"Qualified",0.1,"Discovery",0.2,"Demo Booked",0.35,"Demo Completed",0.5,"Proposal",0.65,"Negotiation",0.8,"Closed Won",1,0))</f>
        <v/>
      </c>
      <c r="H491" s="16" t="n"/>
      <c r="I491" s="16" t="n"/>
      <c r="J491" s="16" t="n"/>
      <c r="K491" s="13" t="n"/>
      <c r="L491" s="13" t="n"/>
      <c r="M491" s="13" t="n"/>
    </row>
    <row r="492" ht="15.75" customHeight="1" s="19">
      <c r="G492" s="2">
        <f>IF(F492="","",SWITCH(F492,"Qualified",0.1,"Discovery",0.2,"Demo Booked",0.35,"Demo Completed",0.5,"Proposal",0.65,"Negotiation",0.8,"Closed Won",1,0))</f>
        <v/>
      </c>
      <c r="H492" s="16" t="n"/>
      <c r="I492" s="16" t="n"/>
      <c r="J492" s="16" t="n"/>
      <c r="K492" s="13" t="n"/>
      <c r="L492" s="13" t="n"/>
      <c r="M492" s="13" t="n"/>
    </row>
    <row r="493" ht="15.75" customHeight="1" s="19">
      <c r="G493" s="2">
        <f>IF(F493="","",SWITCH(F493,"Qualified",0.1,"Discovery",0.2,"Demo Booked",0.35,"Demo Completed",0.5,"Proposal",0.65,"Negotiation",0.8,"Closed Won",1,0))</f>
        <v/>
      </c>
      <c r="H493" s="16" t="n"/>
      <c r="I493" s="16" t="n"/>
      <c r="J493" s="16" t="n"/>
      <c r="K493" s="13" t="n"/>
      <c r="L493" s="13" t="n"/>
      <c r="M493" s="13" t="n"/>
    </row>
    <row r="494" ht="15.75" customHeight="1" s="19">
      <c r="G494" s="2">
        <f>IF(F494="","",SWITCH(F494,"Qualified",0.1,"Discovery",0.2,"Demo Booked",0.35,"Demo Completed",0.5,"Proposal",0.65,"Negotiation",0.8,"Closed Won",1,0))</f>
        <v/>
      </c>
      <c r="H494" s="16" t="n"/>
      <c r="I494" s="16" t="n"/>
      <c r="J494" s="16" t="n"/>
      <c r="K494" s="13" t="n"/>
      <c r="L494" s="13" t="n"/>
      <c r="M494" s="13" t="n"/>
    </row>
    <row r="495" ht="15.75" customHeight="1" s="19">
      <c r="G495" s="2">
        <f>IF(F495="","",SWITCH(F495,"Qualified",0.1,"Discovery",0.2,"Demo Booked",0.35,"Demo Completed",0.5,"Proposal",0.65,"Negotiation",0.8,"Closed Won",1,0))</f>
        <v/>
      </c>
      <c r="H495" s="16" t="n"/>
      <c r="I495" s="16" t="n"/>
      <c r="J495" s="16" t="n"/>
      <c r="K495" s="13" t="n"/>
      <c r="L495" s="13" t="n"/>
      <c r="M495" s="13" t="n"/>
    </row>
    <row r="496" ht="15.75" customHeight="1" s="19">
      <c r="G496" s="2">
        <f>IF(F496="","",SWITCH(F496,"Qualified",0.1,"Discovery",0.2,"Demo Booked",0.35,"Demo Completed",0.5,"Proposal",0.65,"Negotiation",0.8,"Closed Won",1,0))</f>
        <v/>
      </c>
      <c r="H496" s="16" t="n"/>
      <c r="I496" s="16" t="n"/>
      <c r="J496" s="16" t="n"/>
      <c r="K496" s="13" t="n"/>
      <c r="L496" s="13" t="n"/>
      <c r="M496" s="13" t="n"/>
    </row>
    <row r="497" ht="15.75" customHeight="1" s="19">
      <c r="G497" s="2">
        <f>IF(F497="","",SWITCH(F497,"Qualified",0.1,"Discovery",0.2,"Demo Booked",0.35,"Demo Completed",0.5,"Proposal",0.65,"Negotiation",0.8,"Closed Won",1,0))</f>
        <v/>
      </c>
      <c r="H497" s="16" t="n"/>
      <c r="I497" s="16" t="n"/>
      <c r="J497" s="16" t="n"/>
      <c r="K497" s="13" t="n"/>
      <c r="L497" s="13" t="n"/>
      <c r="M497" s="13" t="n"/>
    </row>
    <row r="498" ht="15.75" customHeight="1" s="19">
      <c r="G498" s="2">
        <f>IF(F498="","",SWITCH(F498,"Qualified",0.1,"Discovery",0.2,"Demo Booked",0.35,"Demo Completed",0.5,"Proposal",0.65,"Negotiation",0.8,"Closed Won",1,0))</f>
        <v/>
      </c>
      <c r="H498" s="16" t="n"/>
      <c r="I498" s="16" t="n"/>
      <c r="J498" s="16" t="n"/>
      <c r="K498" s="13" t="n"/>
      <c r="L498" s="13" t="n"/>
      <c r="M498" s="13" t="n"/>
    </row>
    <row r="499" ht="15.75" customHeight="1" s="19">
      <c r="G499" s="2">
        <f>IF(F499="","",SWITCH(F499,"Qualified",0.1,"Discovery",0.2,"Demo Booked",0.35,"Demo Completed",0.5,"Proposal",0.65,"Negotiation",0.8,"Closed Won",1,0))</f>
        <v/>
      </c>
      <c r="H499" s="16" t="n"/>
      <c r="I499" s="16" t="n"/>
      <c r="J499" s="16" t="n"/>
      <c r="K499" s="13" t="n"/>
      <c r="L499" s="13" t="n"/>
      <c r="M499" s="13" t="n"/>
    </row>
    <row r="500" ht="15.75" customHeight="1" s="19">
      <c r="G500" s="2">
        <f>IF(F500="","",SWITCH(F500,"Qualified",0.1,"Discovery",0.2,"Demo Booked",0.35,"Demo Completed",0.5,"Proposal",0.65,"Negotiation",0.8,"Closed Won",1,0))</f>
        <v/>
      </c>
      <c r="H500" s="16" t="n"/>
      <c r="I500" s="16" t="n"/>
      <c r="J500" s="16" t="n"/>
      <c r="K500" s="13" t="n"/>
      <c r="L500" s="13" t="n"/>
      <c r="M500" s="13" t="n"/>
    </row>
    <row r="501" ht="15.75" customHeight="1" s="19">
      <c r="G501" s="2">
        <f>IF(F501="","",SWITCH(F501,"Qualified",0.1,"Discovery",0.2,"Demo Booked",0.35,"Demo Completed",0.5,"Proposal",0.65,"Negotiation",0.8,"Closed Won",1,0))</f>
        <v/>
      </c>
      <c r="H501" s="16" t="n"/>
      <c r="I501" s="16" t="n"/>
      <c r="J501" s="16" t="n"/>
      <c r="K501" s="13" t="n"/>
      <c r="L501" s="13" t="n"/>
      <c r="M501" s="13" t="n"/>
    </row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1:$Q$501"/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22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19" min="1" max="18"/>
    <col width="8.710000000000001" customWidth="1" style="19" min="19" max="26"/>
  </cols>
  <sheetData>
    <row r="1" ht="30" customHeight="1" s="19">
      <c r="A1" s="17" t="inlineStr">
        <is>
          <t>Customer ID</t>
        </is>
      </c>
      <c r="B1" s="17" t="inlineStr">
        <is>
          <t>Lead ID</t>
        </is>
      </c>
      <c r="C1" s="17" t="inlineStr">
        <is>
          <t>Business Name</t>
        </is>
      </c>
      <c r="D1" s="17" t="inlineStr">
        <is>
          <t>Primary Contact</t>
        </is>
      </c>
      <c r="E1" s="17" t="inlineStr">
        <is>
          <t>Plan</t>
        </is>
      </c>
      <c r="F1" s="17" t="inlineStr">
        <is>
          <t>Currency</t>
        </is>
      </c>
      <c r="G1" s="17" t="inlineStr">
        <is>
          <t>MRR</t>
        </is>
      </c>
      <c r="H1" s="17" t="inlineStr">
        <is>
          <t>Setup Fee</t>
        </is>
      </c>
      <c r="I1" s="17" t="inlineStr">
        <is>
          <t>Start Date</t>
        </is>
      </c>
      <c r="J1" s="17" t="inlineStr">
        <is>
          <t>Status</t>
        </is>
      </c>
      <c r="K1" s="17" t="inlineStr">
        <is>
          <t>Seats</t>
        </is>
      </c>
      <c r="L1" s="17" t="inlineStr">
        <is>
          <t>Locations</t>
        </is>
      </c>
      <c r="M1" s="17" t="inlineStr">
        <is>
          <t>Products</t>
        </is>
      </c>
      <c r="N1" s="17" t="inlineStr">
        <is>
          <t>Customers</t>
        </is>
      </c>
      <c r="O1" s="17" t="inlineStr">
        <is>
          <t>Current Features</t>
        </is>
      </c>
      <c r="P1" s="17" t="inlineStr">
        <is>
          <t>Expansion Opportunity</t>
        </is>
      </c>
      <c r="Q1" s="17" t="inlineStr">
        <is>
          <t>Renewal / Review Date</t>
        </is>
      </c>
      <c r="R1" s="17" t="inlineStr">
        <is>
          <t>Notes</t>
        </is>
      </c>
    </row>
    <row r="2">
      <c r="G2" s="16" t="n"/>
      <c r="H2" s="16" t="n"/>
      <c r="I2" s="13" t="n"/>
      <c r="Q2" s="13" t="n"/>
    </row>
    <row r="3">
      <c r="G3" s="16" t="n"/>
      <c r="H3" s="16" t="n"/>
      <c r="I3" s="13" t="n"/>
      <c r="Q3" s="13" t="n"/>
    </row>
    <row r="4">
      <c r="G4" s="16" t="n"/>
      <c r="H4" s="16" t="n"/>
      <c r="I4" s="13" t="n"/>
      <c r="Q4" s="13" t="n"/>
    </row>
    <row r="5">
      <c r="G5" s="16" t="n"/>
      <c r="H5" s="16" t="n"/>
      <c r="I5" s="13" t="n"/>
      <c r="Q5" s="13" t="n"/>
    </row>
    <row r="6">
      <c r="G6" s="16" t="n"/>
      <c r="H6" s="16" t="n"/>
      <c r="I6" s="13" t="n"/>
      <c r="Q6" s="13" t="n"/>
    </row>
    <row r="7">
      <c r="G7" s="16" t="n"/>
      <c r="H7" s="16" t="n"/>
      <c r="I7" s="13" t="n"/>
      <c r="Q7" s="13" t="n"/>
    </row>
    <row r="8">
      <c r="G8" s="16" t="n"/>
      <c r="H8" s="16" t="n"/>
      <c r="I8" s="13" t="n"/>
      <c r="Q8" s="13" t="n"/>
    </row>
    <row r="9">
      <c r="G9" s="16" t="n"/>
      <c r="H9" s="16" t="n"/>
      <c r="I9" s="13" t="n"/>
      <c r="Q9" s="13" t="n"/>
    </row>
    <row r="10">
      <c r="G10" s="16" t="n"/>
      <c r="H10" s="16" t="n"/>
      <c r="I10" s="13" t="n"/>
      <c r="Q10" s="13" t="n"/>
    </row>
    <row r="11">
      <c r="G11" s="16" t="n"/>
      <c r="H11" s="16" t="n"/>
      <c r="I11" s="13" t="n"/>
      <c r="Q11" s="13" t="n"/>
    </row>
    <row r="12">
      <c r="G12" s="16" t="n"/>
      <c r="H12" s="16" t="n"/>
      <c r="I12" s="13" t="n"/>
      <c r="Q12" s="13" t="n"/>
    </row>
    <row r="13">
      <c r="G13" s="16" t="n"/>
      <c r="H13" s="16" t="n"/>
      <c r="I13" s="13" t="n"/>
      <c r="Q13" s="13" t="n"/>
    </row>
    <row r="14">
      <c r="G14" s="16" t="n"/>
      <c r="H14" s="16" t="n"/>
      <c r="I14" s="13" t="n"/>
      <c r="Q14" s="13" t="n"/>
    </row>
    <row r="15">
      <c r="G15" s="16" t="n"/>
      <c r="H15" s="16" t="n"/>
      <c r="I15" s="13" t="n"/>
      <c r="Q15" s="13" t="n"/>
    </row>
    <row r="16">
      <c r="G16" s="16" t="n"/>
      <c r="H16" s="16" t="n"/>
      <c r="I16" s="13" t="n"/>
      <c r="Q16" s="13" t="n"/>
    </row>
    <row r="17">
      <c r="G17" s="16" t="n"/>
      <c r="H17" s="16" t="n"/>
      <c r="I17" s="13" t="n"/>
      <c r="Q17" s="13" t="n"/>
    </row>
    <row r="18">
      <c r="G18" s="16" t="n"/>
      <c r="H18" s="16" t="n"/>
      <c r="I18" s="13" t="n"/>
      <c r="Q18" s="13" t="n"/>
    </row>
    <row r="19">
      <c r="G19" s="16" t="n"/>
      <c r="H19" s="16" t="n"/>
      <c r="I19" s="13" t="n"/>
      <c r="Q19" s="13" t="n"/>
    </row>
    <row r="20">
      <c r="G20" s="16" t="n"/>
      <c r="H20" s="16" t="n"/>
      <c r="I20" s="13" t="n"/>
      <c r="Q20" s="13" t="n"/>
    </row>
    <row r="21" ht="15.75" customHeight="1" s="19">
      <c r="G21" s="16" t="n"/>
      <c r="H21" s="16" t="n"/>
      <c r="I21" s="13" t="n"/>
      <c r="Q21" s="13" t="n"/>
    </row>
    <row r="22" ht="15.75" customHeight="1" s="19">
      <c r="G22" s="16" t="n"/>
      <c r="H22" s="16" t="n"/>
      <c r="I22" s="13" t="n"/>
      <c r="Q22" s="13" t="n"/>
    </row>
    <row r="23" ht="15.75" customHeight="1" s="19">
      <c r="G23" s="16" t="n"/>
      <c r="H23" s="16" t="n"/>
      <c r="I23" s="13" t="n"/>
      <c r="Q23" s="13" t="n"/>
    </row>
    <row r="24" ht="15.75" customHeight="1" s="19">
      <c r="G24" s="16" t="n"/>
      <c r="H24" s="16" t="n"/>
      <c r="I24" s="13" t="n"/>
      <c r="Q24" s="13" t="n"/>
    </row>
    <row r="25" ht="15.75" customHeight="1" s="19">
      <c r="G25" s="16" t="n"/>
      <c r="H25" s="16" t="n"/>
      <c r="I25" s="13" t="n"/>
      <c r="Q25" s="13" t="n"/>
    </row>
    <row r="26" ht="15.75" customHeight="1" s="19">
      <c r="G26" s="16" t="n"/>
      <c r="H26" s="16" t="n"/>
      <c r="I26" s="13" t="n"/>
      <c r="Q26" s="13" t="n"/>
    </row>
    <row r="27" ht="15.75" customHeight="1" s="19">
      <c r="G27" s="16" t="n"/>
      <c r="H27" s="16" t="n"/>
      <c r="I27" s="13" t="n"/>
      <c r="Q27" s="13" t="n"/>
    </row>
    <row r="28" ht="15.75" customHeight="1" s="19">
      <c r="G28" s="16" t="n"/>
      <c r="H28" s="16" t="n"/>
      <c r="I28" s="13" t="n"/>
      <c r="Q28" s="13" t="n"/>
    </row>
    <row r="29" ht="15.75" customHeight="1" s="19">
      <c r="G29" s="16" t="n"/>
      <c r="H29" s="16" t="n"/>
      <c r="I29" s="13" t="n"/>
      <c r="Q29" s="13" t="n"/>
    </row>
    <row r="30" ht="15.75" customHeight="1" s="19">
      <c r="G30" s="16" t="n"/>
      <c r="H30" s="16" t="n"/>
      <c r="I30" s="13" t="n"/>
      <c r="Q30" s="13" t="n"/>
    </row>
    <row r="31" ht="15.75" customHeight="1" s="19">
      <c r="G31" s="16" t="n"/>
      <c r="H31" s="16" t="n"/>
      <c r="I31" s="13" t="n"/>
      <c r="Q31" s="13" t="n"/>
    </row>
    <row r="32" ht="15.75" customHeight="1" s="19">
      <c r="G32" s="16" t="n"/>
      <c r="H32" s="16" t="n"/>
      <c r="I32" s="13" t="n"/>
      <c r="Q32" s="13" t="n"/>
    </row>
    <row r="33" ht="15.75" customHeight="1" s="19">
      <c r="G33" s="16" t="n"/>
      <c r="H33" s="16" t="n"/>
      <c r="I33" s="13" t="n"/>
      <c r="Q33" s="13" t="n"/>
    </row>
    <row r="34" ht="15.75" customHeight="1" s="19">
      <c r="G34" s="16" t="n"/>
      <c r="H34" s="16" t="n"/>
      <c r="I34" s="13" t="n"/>
      <c r="Q34" s="13" t="n"/>
    </row>
    <row r="35" ht="15.75" customHeight="1" s="19">
      <c r="G35" s="16" t="n"/>
      <c r="H35" s="16" t="n"/>
      <c r="I35" s="13" t="n"/>
      <c r="Q35" s="13" t="n"/>
    </row>
    <row r="36" ht="15.75" customHeight="1" s="19">
      <c r="G36" s="16" t="n"/>
      <c r="H36" s="16" t="n"/>
      <c r="I36" s="13" t="n"/>
      <c r="Q36" s="13" t="n"/>
    </row>
    <row r="37" ht="15.75" customHeight="1" s="19">
      <c r="G37" s="16" t="n"/>
      <c r="H37" s="16" t="n"/>
      <c r="I37" s="13" t="n"/>
      <c r="Q37" s="13" t="n"/>
    </row>
    <row r="38" ht="15.75" customHeight="1" s="19">
      <c r="G38" s="16" t="n"/>
      <c r="H38" s="16" t="n"/>
      <c r="I38" s="13" t="n"/>
      <c r="Q38" s="13" t="n"/>
    </row>
    <row r="39" ht="15.75" customHeight="1" s="19">
      <c r="G39" s="16" t="n"/>
      <c r="H39" s="16" t="n"/>
      <c r="I39" s="13" t="n"/>
      <c r="Q39" s="13" t="n"/>
    </row>
    <row r="40" ht="15.75" customHeight="1" s="19">
      <c r="G40" s="16" t="n"/>
      <c r="H40" s="16" t="n"/>
      <c r="I40" s="13" t="n"/>
      <c r="Q40" s="13" t="n"/>
    </row>
    <row r="41" ht="15.75" customHeight="1" s="19">
      <c r="G41" s="16" t="n"/>
      <c r="H41" s="16" t="n"/>
      <c r="I41" s="13" t="n"/>
      <c r="Q41" s="13" t="n"/>
    </row>
    <row r="42" ht="15.75" customHeight="1" s="19">
      <c r="G42" s="16" t="n"/>
      <c r="H42" s="16" t="n"/>
      <c r="I42" s="13" t="n"/>
      <c r="Q42" s="13" t="n"/>
    </row>
    <row r="43" ht="15.75" customHeight="1" s="19">
      <c r="G43" s="16" t="n"/>
      <c r="H43" s="16" t="n"/>
      <c r="I43" s="13" t="n"/>
      <c r="Q43" s="13" t="n"/>
    </row>
    <row r="44" ht="15.75" customHeight="1" s="19">
      <c r="G44" s="16" t="n"/>
      <c r="H44" s="16" t="n"/>
      <c r="I44" s="13" t="n"/>
      <c r="Q44" s="13" t="n"/>
    </row>
    <row r="45" ht="15.75" customHeight="1" s="19">
      <c r="G45" s="16" t="n"/>
      <c r="H45" s="16" t="n"/>
      <c r="I45" s="13" t="n"/>
      <c r="Q45" s="13" t="n"/>
    </row>
    <row r="46" ht="15.75" customHeight="1" s="19">
      <c r="G46" s="16" t="n"/>
      <c r="H46" s="16" t="n"/>
      <c r="I46" s="13" t="n"/>
      <c r="Q46" s="13" t="n"/>
    </row>
    <row r="47" ht="15.75" customHeight="1" s="19">
      <c r="G47" s="16" t="n"/>
      <c r="H47" s="16" t="n"/>
      <c r="I47" s="13" t="n"/>
      <c r="Q47" s="13" t="n"/>
    </row>
    <row r="48" ht="15.75" customHeight="1" s="19">
      <c r="G48" s="16" t="n"/>
      <c r="H48" s="16" t="n"/>
      <c r="I48" s="13" t="n"/>
      <c r="Q48" s="13" t="n"/>
    </row>
    <row r="49" ht="15.75" customHeight="1" s="19">
      <c r="G49" s="16" t="n"/>
      <c r="H49" s="16" t="n"/>
      <c r="I49" s="13" t="n"/>
      <c r="Q49" s="13" t="n"/>
    </row>
    <row r="50" ht="15.75" customHeight="1" s="19">
      <c r="G50" s="16" t="n"/>
      <c r="H50" s="16" t="n"/>
      <c r="I50" s="13" t="n"/>
      <c r="Q50" s="13" t="n"/>
    </row>
    <row r="51" ht="15.75" customHeight="1" s="19">
      <c r="G51" s="16" t="n"/>
      <c r="H51" s="16" t="n"/>
      <c r="I51" s="13" t="n"/>
      <c r="Q51" s="13" t="n"/>
    </row>
    <row r="52" ht="15.75" customHeight="1" s="19">
      <c r="G52" s="16" t="n"/>
      <c r="H52" s="16" t="n"/>
      <c r="I52" s="13" t="n"/>
      <c r="Q52" s="13" t="n"/>
    </row>
    <row r="53" ht="15.75" customHeight="1" s="19">
      <c r="G53" s="16" t="n"/>
      <c r="H53" s="16" t="n"/>
      <c r="I53" s="13" t="n"/>
      <c r="Q53" s="13" t="n"/>
    </row>
    <row r="54" ht="15.75" customHeight="1" s="19">
      <c r="G54" s="16" t="n"/>
      <c r="H54" s="16" t="n"/>
      <c r="I54" s="13" t="n"/>
      <c r="Q54" s="13" t="n"/>
    </row>
    <row r="55" ht="15.75" customHeight="1" s="19">
      <c r="G55" s="16" t="n"/>
      <c r="H55" s="16" t="n"/>
      <c r="I55" s="13" t="n"/>
      <c r="Q55" s="13" t="n"/>
    </row>
    <row r="56" ht="15.75" customHeight="1" s="19">
      <c r="G56" s="16" t="n"/>
      <c r="H56" s="16" t="n"/>
      <c r="I56" s="13" t="n"/>
      <c r="Q56" s="13" t="n"/>
    </row>
    <row r="57" ht="15.75" customHeight="1" s="19">
      <c r="G57" s="16" t="n"/>
      <c r="H57" s="16" t="n"/>
      <c r="I57" s="13" t="n"/>
      <c r="Q57" s="13" t="n"/>
    </row>
    <row r="58" ht="15.75" customHeight="1" s="19">
      <c r="G58" s="16" t="n"/>
      <c r="H58" s="16" t="n"/>
      <c r="I58" s="13" t="n"/>
      <c r="Q58" s="13" t="n"/>
    </row>
    <row r="59" ht="15.75" customHeight="1" s="19">
      <c r="G59" s="16" t="n"/>
      <c r="H59" s="16" t="n"/>
      <c r="I59" s="13" t="n"/>
      <c r="Q59" s="13" t="n"/>
    </row>
    <row r="60" ht="15.75" customHeight="1" s="19">
      <c r="G60" s="16" t="n"/>
      <c r="H60" s="16" t="n"/>
      <c r="I60" s="13" t="n"/>
      <c r="Q60" s="13" t="n"/>
    </row>
    <row r="61" ht="15.75" customHeight="1" s="19">
      <c r="G61" s="16" t="n"/>
      <c r="H61" s="16" t="n"/>
      <c r="I61" s="13" t="n"/>
      <c r="Q61" s="13" t="n"/>
    </row>
    <row r="62" ht="15.75" customHeight="1" s="19">
      <c r="G62" s="16" t="n"/>
      <c r="H62" s="16" t="n"/>
      <c r="I62" s="13" t="n"/>
      <c r="Q62" s="13" t="n"/>
    </row>
    <row r="63" ht="15.75" customHeight="1" s="19">
      <c r="G63" s="16" t="n"/>
      <c r="H63" s="16" t="n"/>
      <c r="I63" s="13" t="n"/>
      <c r="Q63" s="13" t="n"/>
    </row>
    <row r="64" ht="15.75" customHeight="1" s="19">
      <c r="G64" s="16" t="n"/>
      <c r="H64" s="16" t="n"/>
      <c r="I64" s="13" t="n"/>
      <c r="Q64" s="13" t="n"/>
    </row>
    <row r="65" ht="15.75" customHeight="1" s="19">
      <c r="G65" s="16" t="n"/>
      <c r="H65" s="16" t="n"/>
      <c r="I65" s="13" t="n"/>
      <c r="Q65" s="13" t="n"/>
    </row>
    <row r="66" ht="15.75" customHeight="1" s="19">
      <c r="G66" s="16" t="n"/>
      <c r="H66" s="16" t="n"/>
      <c r="I66" s="13" t="n"/>
      <c r="Q66" s="13" t="n"/>
    </row>
    <row r="67" ht="15.75" customHeight="1" s="19">
      <c r="G67" s="16" t="n"/>
      <c r="H67" s="16" t="n"/>
      <c r="I67" s="13" t="n"/>
      <c r="Q67" s="13" t="n"/>
    </row>
    <row r="68" ht="15.75" customHeight="1" s="19">
      <c r="G68" s="16" t="n"/>
      <c r="H68" s="16" t="n"/>
      <c r="I68" s="13" t="n"/>
      <c r="Q68" s="13" t="n"/>
    </row>
    <row r="69" ht="15.75" customHeight="1" s="19">
      <c r="G69" s="16" t="n"/>
      <c r="H69" s="16" t="n"/>
      <c r="I69" s="13" t="n"/>
      <c r="Q69" s="13" t="n"/>
    </row>
    <row r="70" ht="15.75" customHeight="1" s="19">
      <c r="G70" s="16" t="n"/>
      <c r="H70" s="16" t="n"/>
      <c r="I70" s="13" t="n"/>
      <c r="Q70" s="13" t="n"/>
    </row>
    <row r="71" ht="15.75" customHeight="1" s="19">
      <c r="G71" s="16" t="n"/>
      <c r="H71" s="16" t="n"/>
      <c r="I71" s="13" t="n"/>
      <c r="Q71" s="13" t="n"/>
    </row>
    <row r="72" ht="15.75" customHeight="1" s="19">
      <c r="G72" s="16" t="n"/>
      <c r="H72" s="16" t="n"/>
      <c r="I72" s="13" t="n"/>
      <c r="Q72" s="13" t="n"/>
    </row>
    <row r="73" ht="15.75" customHeight="1" s="19">
      <c r="G73" s="16" t="n"/>
      <c r="H73" s="16" t="n"/>
      <c r="I73" s="13" t="n"/>
      <c r="Q73" s="13" t="n"/>
    </row>
    <row r="74" ht="15.75" customHeight="1" s="19">
      <c r="G74" s="16" t="n"/>
      <c r="H74" s="16" t="n"/>
      <c r="I74" s="13" t="n"/>
      <c r="Q74" s="13" t="n"/>
    </row>
    <row r="75" ht="15.75" customHeight="1" s="19">
      <c r="G75" s="16" t="n"/>
      <c r="H75" s="16" t="n"/>
      <c r="I75" s="13" t="n"/>
      <c r="Q75" s="13" t="n"/>
    </row>
    <row r="76" ht="15.75" customHeight="1" s="19">
      <c r="G76" s="16" t="n"/>
      <c r="H76" s="16" t="n"/>
      <c r="I76" s="13" t="n"/>
      <c r="Q76" s="13" t="n"/>
    </row>
    <row r="77" ht="15.75" customHeight="1" s="19">
      <c r="G77" s="16" t="n"/>
      <c r="H77" s="16" t="n"/>
      <c r="I77" s="13" t="n"/>
      <c r="Q77" s="13" t="n"/>
    </row>
    <row r="78" ht="15.75" customHeight="1" s="19">
      <c r="G78" s="16" t="n"/>
      <c r="H78" s="16" t="n"/>
      <c r="I78" s="13" t="n"/>
      <c r="Q78" s="13" t="n"/>
    </row>
    <row r="79" ht="15.75" customHeight="1" s="19">
      <c r="G79" s="16" t="n"/>
      <c r="H79" s="16" t="n"/>
      <c r="I79" s="13" t="n"/>
      <c r="Q79" s="13" t="n"/>
    </row>
    <row r="80" ht="15.75" customHeight="1" s="19">
      <c r="G80" s="16" t="n"/>
      <c r="H80" s="16" t="n"/>
      <c r="I80" s="13" t="n"/>
      <c r="Q80" s="13" t="n"/>
    </row>
    <row r="81" ht="15.75" customHeight="1" s="19">
      <c r="G81" s="16" t="n"/>
      <c r="H81" s="16" t="n"/>
      <c r="I81" s="13" t="n"/>
      <c r="Q81" s="13" t="n"/>
    </row>
    <row r="82" ht="15.75" customHeight="1" s="19">
      <c r="G82" s="16" t="n"/>
      <c r="H82" s="16" t="n"/>
      <c r="I82" s="13" t="n"/>
      <c r="Q82" s="13" t="n"/>
    </row>
    <row r="83" ht="15.75" customHeight="1" s="19">
      <c r="G83" s="16" t="n"/>
      <c r="H83" s="16" t="n"/>
      <c r="I83" s="13" t="n"/>
      <c r="Q83" s="13" t="n"/>
    </row>
    <row r="84" ht="15.75" customHeight="1" s="19">
      <c r="G84" s="16" t="n"/>
      <c r="H84" s="16" t="n"/>
      <c r="I84" s="13" t="n"/>
      <c r="Q84" s="13" t="n"/>
    </row>
    <row r="85" ht="15.75" customHeight="1" s="19">
      <c r="G85" s="16" t="n"/>
      <c r="H85" s="16" t="n"/>
      <c r="I85" s="13" t="n"/>
      <c r="Q85" s="13" t="n"/>
    </row>
    <row r="86" ht="15.75" customHeight="1" s="19">
      <c r="G86" s="16" t="n"/>
      <c r="H86" s="16" t="n"/>
      <c r="I86" s="13" t="n"/>
      <c r="Q86" s="13" t="n"/>
    </row>
    <row r="87" ht="15.75" customHeight="1" s="19">
      <c r="G87" s="16" t="n"/>
      <c r="H87" s="16" t="n"/>
      <c r="I87" s="13" t="n"/>
      <c r="Q87" s="13" t="n"/>
    </row>
    <row r="88" ht="15.75" customHeight="1" s="19">
      <c r="G88" s="16" t="n"/>
      <c r="H88" s="16" t="n"/>
      <c r="I88" s="13" t="n"/>
      <c r="Q88" s="13" t="n"/>
    </row>
    <row r="89" ht="15.75" customHeight="1" s="19">
      <c r="G89" s="16" t="n"/>
      <c r="H89" s="16" t="n"/>
      <c r="I89" s="13" t="n"/>
      <c r="Q89" s="13" t="n"/>
    </row>
    <row r="90" ht="15.75" customHeight="1" s="19">
      <c r="G90" s="16" t="n"/>
      <c r="H90" s="16" t="n"/>
      <c r="I90" s="13" t="n"/>
      <c r="Q90" s="13" t="n"/>
    </row>
    <row r="91" ht="15.75" customHeight="1" s="19">
      <c r="G91" s="16" t="n"/>
      <c r="H91" s="16" t="n"/>
      <c r="I91" s="13" t="n"/>
      <c r="Q91" s="13" t="n"/>
    </row>
    <row r="92" ht="15.75" customHeight="1" s="19">
      <c r="G92" s="16" t="n"/>
      <c r="H92" s="16" t="n"/>
      <c r="I92" s="13" t="n"/>
      <c r="Q92" s="13" t="n"/>
    </row>
    <row r="93" ht="15.75" customHeight="1" s="19">
      <c r="G93" s="16" t="n"/>
      <c r="H93" s="16" t="n"/>
      <c r="I93" s="13" t="n"/>
      <c r="Q93" s="13" t="n"/>
    </row>
    <row r="94" ht="15.75" customHeight="1" s="19">
      <c r="G94" s="16" t="n"/>
      <c r="H94" s="16" t="n"/>
      <c r="I94" s="13" t="n"/>
      <c r="Q94" s="13" t="n"/>
    </row>
    <row r="95" ht="15.75" customHeight="1" s="19">
      <c r="G95" s="16" t="n"/>
      <c r="H95" s="16" t="n"/>
      <c r="I95" s="13" t="n"/>
      <c r="Q95" s="13" t="n"/>
    </row>
    <row r="96" ht="15.75" customHeight="1" s="19">
      <c r="G96" s="16" t="n"/>
      <c r="H96" s="16" t="n"/>
      <c r="I96" s="13" t="n"/>
      <c r="Q96" s="13" t="n"/>
    </row>
    <row r="97" ht="15.75" customHeight="1" s="19">
      <c r="G97" s="16" t="n"/>
      <c r="H97" s="16" t="n"/>
      <c r="I97" s="13" t="n"/>
      <c r="Q97" s="13" t="n"/>
    </row>
    <row r="98" ht="15.75" customHeight="1" s="19">
      <c r="G98" s="16" t="n"/>
      <c r="H98" s="16" t="n"/>
      <c r="I98" s="13" t="n"/>
      <c r="Q98" s="13" t="n"/>
    </row>
    <row r="99" ht="15.75" customHeight="1" s="19">
      <c r="G99" s="16" t="n"/>
      <c r="H99" s="16" t="n"/>
      <c r="I99" s="13" t="n"/>
      <c r="Q99" s="13" t="n"/>
    </row>
    <row r="100" ht="15.75" customHeight="1" s="19">
      <c r="G100" s="16" t="n"/>
      <c r="H100" s="16" t="n"/>
      <c r="I100" s="13" t="n"/>
      <c r="Q100" s="13" t="n"/>
    </row>
    <row r="101" ht="15.75" customHeight="1" s="19">
      <c r="G101" s="16" t="n"/>
      <c r="H101" s="16" t="n"/>
      <c r="I101" s="13" t="n"/>
      <c r="Q101" s="13" t="n"/>
    </row>
    <row r="102" ht="15.75" customHeight="1" s="19">
      <c r="G102" s="16" t="n"/>
      <c r="H102" s="16" t="n"/>
      <c r="I102" s="13" t="n"/>
      <c r="Q102" s="13" t="n"/>
    </row>
    <row r="103" ht="15.75" customHeight="1" s="19">
      <c r="G103" s="16" t="n"/>
      <c r="H103" s="16" t="n"/>
      <c r="I103" s="13" t="n"/>
      <c r="Q103" s="13" t="n"/>
    </row>
    <row r="104" ht="15.75" customHeight="1" s="19">
      <c r="G104" s="16" t="n"/>
      <c r="H104" s="16" t="n"/>
      <c r="I104" s="13" t="n"/>
      <c r="Q104" s="13" t="n"/>
    </row>
    <row r="105" ht="15.75" customHeight="1" s="19">
      <c r="G105" s="16" t="n"/>
      <c r="H105" s="16" t="n"/>
      <c r="I105" s="13" t="n"/>
      <c r="Q105" s="13" t="n"/>
    </row>
    <row r="106" ht="15.75" customHeight="1" s="19">
      <c r="G106" s="16" t="n"/>
      <c r="H106" s="16" t="n"/>
      <c r="I106" s="13" t="n"/>
      <c r="Q106" s="13" t="n"/>
    </row>
    <row r="107" ht="15.75" customHeight="1" s="19">
      <c r="G107" s="16" t="n"/>
      <c r="H107" s="16" t="n"/>
      <c r="I107" s="13" t="n"/>
      <c r="Q107" s="13" t="n"/>
    </row>
    <row r="108" ht="15.75" customHeight="1" s="19">
      <c r="G108" s="16" t="n"/>
      <c r="H108" s="16" t="n"/>
      <c r="I108" s="13" t="n"/>
      <c r="Q108" s="13" t="n"/>
    </row>
    <row r="109" ht="15.75" customHeight="1" s="19">
      <c r="G109" s="16" t="n"/>
      <c r="H109" s="16" t="n"/>
      <c r="I109" s="13" t="n"/>
      <c r="Q109" s="13" t="n"/>
    </row>
    <row r="110" ht="15.75" customHeight="1" s="19">
      <c r="G110" s="16" t="n"/>
      <c r="H110" s="16" t="n"/>
      <c r="I110" s="13" t="n"/>
      <c r="Q110" s="13" t="n"/>
    </row>
    <row r="111" ht="15.75" customHeight="1" s="19">
      <c r="G111" s="16" t="n"/>
      <c r="H111" s="16" t="n"/>
      <c r="I111" s="13" t="n"/>
      <c r="Q111" s="13" t="n"/>
    </row>
    <row r="112" ht="15.75" customHeight="1" s="19">
      <c r="G112" s="16" t="n"/>
      <c r="H112" s="16" t="n"/>
      <c r="I112" s="13" t="n"/>
      <c r="Q112" s="13" t="n"/>
    </row>
    <row r="113" ht="15.75" customHeight="1" s="19">
      <c r="G113" s="16" t="n"/>
      <c r="H113" s="16" t="n"/>
      <c r="I113" s="13" t="n"/>
      <c r="Q113" s="13" t="n"/>
    </row>
    <row r="114" ht="15.75" customHeight="1" s="19">
      <c r="G114" s="16" t="n"/>
      <c r="H114" s="16" t="n"/>
      <c r="I114" s="13" t="n"/>
      <c r="Q114" s="13" t="n"/>
    </row>
    <row r="115" ht="15.75" customHeight="1" s="19">
      <c r="G115" s="16" t="n"/>
      <c r="H115" s="16" t="n"/>
      <c r="I115" s="13" t="n"/>
      <c r="Q115" s="13" t="n"/>
    </row>
    <row r="116" ht="15.75" customHeight="1" s="19">
      <c r="G116" s="16" t="n"/>
      <c r="H116" s="16" t="n"/>
      <c r="I116" s="13" t="n"/>
      <c r="Q116" s="13" t="n"/>
    </row>
    <row r="117" ht="15.75" customHeight="1" s="19">
      <c r="G117" s="16" t="n"/>
      <c r="H117" s="16" t="n"/>
      <c r="I117" s="13" t="n"/>
      <c r="Q117" s="13" t="n"/>
    </row>
    <row r="118" ht="15.75" customHeight="1" s="19">
      <c r="G118" s="16" t="n"/>
      <c r="H118" s="16" t="n"/>
      <c r="I118" s="13" t="n"/>
      <c r="Q118" s="13" t="n"/>
    </row>
    <row r="119" ht="15.75" customHeight="1" s="19">
      <c r="G119" s="16" t="n"/>
      <c r="H119" s="16" t="n"/>
      <c r="I119" s="13" t="n"/>
      <c r="Q119" s="13" t="n"/>
    </row>
    <row r="120" ht="15.75" customHeight="1" s="19">
      <c r="G120" s="16" t="n"/>
      <c r="H120" s="16" t="n"/>
      <c r="I120" s="13" t="n"/>
      <c r="Q120" s="13" t="n"/>
    </row>
    <row r="121" ht="15.75" customHeight="1" s="19">
      <c r="G121" s="16" t="n"/>
      <c r="H121" s="16" t="n"/>
      <c r="I121" s="13" t="n"/>
      <c r="Q121" s="13" t="n"/>
    </row>
    <row r="122" ht="15.75" customHeight="1" s="19">
      <c r="G122" s="16" t="n"/>
      <c r="H122" s="16" t="n"/>
      <c r="I122" s="13" t="n"/>
      <c r="Q122" s="13" t="n"/>
    </row>
    <row r="123" ht="15.75" customHeight="1" s="19">
      <c r="G123" s="16" t="n"/>
      <c r="H123" s="16" t="n"/>
      <c r="I123" s="13" t="n"/>
      <c r="Q123" s="13" t="n"/>
    </row>
    <row r="124" ht="15.75" customHeight="1" s="19">
      <c r="G124" s="16" t="n"/>
      <c r="H124" s="16" t="n"/>
      <c r="I124" s="13" t="n"/>
      <c r="Q124" s="13" t="n"/>
    </row>
    <row r="125" ht="15.75" customHeight="1" s="19">
      <c r="G125" s="16" t="n"/>
      <c r="H125" s="16" t="n"/>
      <c r="I125" s="13" t="n"/>
      <c r="Q125" s="13" t="n"/>
    </row>
    <row r="126" ht="15.75" customHeight="1" s="19">
      <c r="G126" s="16" t="n"/>
      <c r="H126" s="16" t="n"/>
      <c r="I126" s="13" t="n"/>
      <c r="Q126" s="13" t="n"/>
    </row>
    <row r="127" ht="15.75" customHeight="1" s="19">
      <c r="G127" s="16" t="n"/>
      <c r="H127" s="16" t="n"/>
      <c r="I127" s="13" t="n"/>
      <c r="Q127" s="13" t="n"/>
    </row>
    <row r="128" ht="15.75" customHeight="1" s="19">
      <c r="G128" s="16" t="n"/>
      <c r="H128" s="16" t="n"/>
      <c r="I128" s="13" t="n"/>
      <c r="Q128" s="13" t="n"/>
    </row>
    <row r="129" ht="15.75" customHeight="1" s="19">
      <c r="G129" s="16" t="n"/>
      <c r="H129" s="16" t="n"/>
      <c r="I129" s="13" t="n"/>
      <c r="Q129" s="13" t="n"/>
    </row>
    <row r="130" ht="15.75" customHeight="1" s="19">
      <c r="G130" s="16" t="n"/>
      <c r="H130" s="16" t="n"/>
      <c r="I130" s="13" t="n"/>
      <c r="Q130" s="13" t="n"/>
    </row>
    <row r="131" ht="15.75" customHeight="1" s="19">
      <c r="G131" s="16" t="n"/>
      <c r="H131" s="16" t="n"/>
      <c r="I131" s="13" t="n"/>
      <c r="Q131" s="13" t="n"/>
    </row>
    <row r="132" ht="15.75" customHeight="1" s="19">
      <c r="G132" s="16" t="n"/>
      <c r="H132" s="16" t="n"/>
      <c r="I132" s="13" t="n"/>
      <c r="Q132" s="13" t="n"/>
    </row>
    <row r="133" ht="15.75" customHeight="1" s="19">
      <c r="G133" s="16" t="n"/>
      <c r="H133" s="16" t="n"/>
      <c r="I133" s="13" t="n"/>
      <c r="Q133" s="13" t="n"/>
    </row>
    <row r="134" ht="15.75" customHeight="1" s="19">
      <c r="G134" s="16" t="n"/>
      <c r="H134" s="16" t="n"/>
      <c r="I134" s="13" t="n"/>
      <c r="Q134" s="13" t="n"/>
    </row>
    <row r="135" ht="15.75" customHeight="1" s="19">
      <c r="G135" s="16" t="n"/>
      <c r="H135" s="16" t="n"/>
      <c r="I135" s="13" t="n"/>
      <c r="Q135" s="13" t="n"/>
    </row>
    <row r="136" ht="15.75" customHeight="1" s="19">
      <c r="G136" s="16" t="n"/>
      <c r="H136" s="16" t="n"/>
      <c r="I136" s="13" t="n"/>
      <c r="Q136" s="13" t="n"/>
    </row>
    <row r="137" ht="15.75" customHeight="1" s="19">
      <c r="G137" s="16" t="n"/>
      <c r="H137" s="16" t="n"/>
      <c r="I137" s="13" t="n"/>
      <c r="Q137" s="13" t="n"/>
    </row>
    <row r="138" ht="15.75" customHeight="1" s="19">
      <c r="G138" s="16" t="n"/>
      <c r="H138" s="16" t="n"/>
      <c r="I138" s="13" t="n"/>
      <c r="Q138" s="13" t="n"/>
    </row>
    <row r="139" ht="15.75" customHeight="1" s="19">
      <c r="G139" s="16" t="n"/>
      <c r="H139" s="16" t="n"/>
      <c r="I139" s="13" t="n"/>
      <c r="Q139" s="13" t="n"/>
    </row>
    <row r="140" ht="15.75" customHeight="1" s="19">
      <c r="G140" s="16" t="n"/>
      <c r="H140" s="16" t="n"/>
      <c r="I140" s="13" t="n"/>
      <c r="Q140" s="13" t="n"/>
    </row>
    <row r="141" ht="15.75" customHeight="1" s="19">
      <c r="G141" s="16" t="n"/>
      <c r="H141" s="16" t="n"/>
      <c r="I141" s="13" t="n"/>
      <c r="Q141" s="13" t="n"/>
    </row>
    <row r="142" ht="15.75" customHeight="1" s="19">
      <c r="G142" s="16" t="n"/>
      <c r="H142" s="16" t="n"/>
      <c r="I142" s="13" t="n"/>
      <c r="Q142" s="13" t="n"/>
    </row>
    <row r="143" ht="15.75" customHeight="1" s="19">
      <c r="G143" s="16" t="n"/>
      <c r="H143" s="16" t="n"/>
      <c r="I143" s="13" t="n"/>
      <c r="Q143" s="13" t="n"/>
    </row>
    <row r="144" ht="15.75" customHeight="1" s="19">
      <c r="G144" s="16" t="n"/>
      <c r="H144" s="16" t="n"/>
      <c r="I144" s="13" t="n"/>
      <c r="Q144" s="13" t="n"/>
    </row>
    <row r="145" ht="15.75" customHeight="1" s="19">
      <c r="G145" s="16" t="n"/>
      <c r="H145" s="16" t="n"/>
      <c r="I145" s="13" t="n"/>
      <c r="Q145" s="13" t="n"/>
    </row>
    <row r="146" ht="15.75" customHeight="1" s="19">
      <c r="G146" s="16" t="n"/>
      <c r="H146" s="16" t="n"/>
      <c r="I146" s="13" t="n"/>
      <c r="Q146" s="13" t="n"/>
    </row>
    <row r="147" ht="15.75" customHeight="1" s="19">
      <c r="G147" s="16" t="n"/>
      <c r="H147" s="16" t="n"/>
      <c r="I147" s="13" t="n"/>
      <c r="Q147" s="13" t="n"/>
    </row>
    <row r="148" ht="15.75" customHeight="1" s="19">
      <c r="G148" s="16" t="n"/>
      <c r="H148" s="16" t="n"/>
      <c r="I148" s="13" t="n"/>
      <c r="Q148" s="13" t="n"/>
    </row>
    <row r="149" ht="15.75" customHeight="1" s="19">
      <c r="G149" s="16" t="n"/>
      <c r="H149" s="16" t="n"/>
      <c r="I149" s="13" t="n"/>
      <c r="Q149" s="13" t="n"/>
    </row>
    <row r="150" ht="15.75" customHeight="1" s="19">
      <c r="G150" s="16" t="n"/>
      <c r="H150" s="16" t="n"/>
      <c r="I150" s="13" t="n"/>
      <c r="Q150" s="13" t="n"/>
    </row>
    <row r="151" ht="15.75" customHeight="1" s="19">
      <c r="G151" s="16" t="n"/>
      <c r="H151" s="16" t="n"/>
      <c r="I151" s="13" t="n"/>
      <c r="Q151" s="13" t="n"/>
    </row>
    <row r="152" ht="15.75" customHeight="1" s="19">
      <c r="G152" s="16" t="n"/>
      <c r="H152" s="16" t="n"/>
      <c r="I152" s="13" t="n"/>
      <c r="Q152" s="13" t="n"/>
    </row>
    <row r="153" ht="15.75" customHeight="1" s="19">
      <c r="G153" s="16" t="n"/>
      <c r="H153" s="16" t="n"/>
      <c r="I153" s="13" t="n"/>
      <c r="Q153" s="13" t="n"/>
    </row>
    <row r="154" ht="15.75" customHeight="1" s="19">
      <c r="G154" s="16" t="n"/>
      <c r="H154" s="16" t="n"/>
      <c r="I154" s="13" t="n"/>
      <c r="Q154" s="13" t="n"/>
    </row>
    <row r="155" ht="15.75" customHeight="1" s="19">
      <c r="G155" s="16" t="n"/>
      <c r="H155" s="16" t="n"/>
      <c r="I155" s="13" t="n"/>
      <c r="Q155" s="13" t="n"/>
    </row>
    <row r="156" ht="15.75" customHeight="1" s="19">
      <c r="G156" s="16" t="n"/>
      <c r="H156" s="16" t="n"/>
      <c r="I156" s="13" t="n"/>
      <c r="Q156" s="13" t="n"/>
    </row>
    <row r="157" ht="15.75" customHeight="1" s="19">
      <c r="G157" s="16" t="n"/>
      <c r="H157" s="16" t="n"/>
      <c r="I157" s="13" t="n"/>
      <c r="Q157" s="13" t="n"/>
    </row>
    <row r="158" ht="15.75" customHeight="1" s="19">
      <c r="G158" s="16" t="n"/>
      <c r="H158" s="16" t="n"/>
      <c r="I158" s="13" t="n"/>
      <c r="Q158" s="13" t="n"/>
    </row>
    <row r="159" ht="15.75" customHeight="1" s="19">
      <c r="G159" s="16" t="n"/>
      <c r="H159" s="16" t="n"/>
      <c r="I159" s="13" t="n"/>
      <c r="Q159" s="13" t="n"/>
    </row>
    <row r="160" ht="15.75" customHeight="1" s="19">
      <c r="G160" s="16" t="n"/>
      <c r="H160" s="16" t="n"/>
      <c r="I160" s="13" t="n"/>
      <c r="Q160" s="13" t="n"/>
    </row>
    <row r="161" ht="15.75" customHeight="1" s="19">
      <c r="G161" s="16" t="n"/>
      <c r="H161" s="16" t="n"/>
      <c r="I161" s="13" t="n"/>
      <c r="Q161" s="13" t="n"/>
    </row>
    <row r="162" ht="15.75" customHeight="1" s="19">
      <c r="G162" s="16" t="n"/>
      <c r="H162" s="16" t="n"/>
      <c r="I162" s="13" t="n"/>
      <c r="Q162" s="13" t="n"/>
    </row>
    <row r="163" ht="15.75" customHeight="1" s="19">
      <c r="G163" s="16" t="n"/>
      <c r="H163" s="16" t="n"/>
      <c r="I163" s="13" t="n"/>
      <c r="Q163" s="13" t="n"/>
    </row>
    <row r="164" ht="15.75" customHeight="1" s="19">
      <c r="G164" s="16" t="n"/>
      <c r="H164" s="16" t="n"/>
      <c r="I164" s="13" t="n"/>
      <c r="Q164" s="13" t="n"/>
    </row>
    <row r="165" ht="15.75" customHeight="1" s="19">
      <c r="G165" s="16" t="n"/>
      <c r="H165" s="16" t="n"/>
      <c r="I165" s="13" t="n"/>
      <c r="Q165" s="13" t="n"/>
    </row>
    <row r="166" ht="15.75" customHeight="1" s="19">
      <c r="G166" s="16" t="n"/>
      <c r="H166" s="16" t="n"/>
      <c r="I166" s="13" t="n"/>
      <c r="Q166" s="13" t="n"/>
    </row>
    <row r="167" ht="15.75" customHeight="1" s="19">
      <c r="G167" s="16" t="n"/>
      <c r="H167" s="16" t="n"/>
      <c r="I167" s="13" t="n"/>
      <c r="Q167" s="13" t="n"/>
    </row>
    <row r="168" ht="15.75" customHeight="1" s="19">
      <c r="G168" s="16" t="n"/>
      <c r="H168" s="16" t="n"/>
      <c r="I168" s="13" t="n"/>
      <c r="Q168" s="13" t="n"/>
    </row>
    <row r="169" ht="15.75" customHeight="1" s="19">
      <c r="G169" s="16" t="n"/>
      <c r="H169" s="16" t="n"/>
      <c r="I169" s="13" t="n"/>
      <c r="Q169" s="13" t="n"/>
    </row>
    <row r="170" ht="15.75" customHeight="1" s="19">
      <c r="G170" s="16" t="n"/>
      <c r="H170" s="16" t="n"/>
      <c r="I170" s="13" t="n"/>
      <c r="Q170" s="13" t="n"/>
    </row>
    <row r="171" ht="15.75" customHeight="1" s="19">
      <c r="G171" s="16" t="n"/>
      <c r="H171" s="16" t="n"/>
      <c r="I171" s="13" t="n"/>
      <c r="Q171" s="13" t="n"/>
    </row>
    <row r="172" ht="15.75" customHeight="1" s="19">
      <c r="G172" s="16" t="n"/>
      <c r="H172" s="16" t="n"/>
      <c r="I172" s="13" t="n"/>
      <c r="Q172" s="13" t="n"/>
    </row>
    <row r="173" ht="15.75" customHeight="1" s="19">
      <c r="G173" s="16" t="n"/>
      <c r="H173" s="16" t="n"/>
      <c r="I173" s="13" t="n"/>
      <c r="Q173" s="13" t="n"/>
    </row>
    <row r="174" ht="15.75" customHeight="1" s="19">
      <c r="G174" s="16" t="n"/>
      <c r="H174" s="16" t="n"/>
      <c r="I174" s="13" t="n"/>
      <c r="Q174" s="13" t="n"/>
    </row>
    <row r="175" ht="15.75" customHeight="1" s="19">
      <c r="G175" s="16" t="n"/>
      <c r="H175" s="16" t="n"/>
      <c r="I175" s="13" t="n"/>
      <c r="Q175" s="13" t="n"/>
    </row>
    <row r="176" ht="15.75" customHeight="1" s="19">
      <c r="G176" s="16" t="n"/>
      <c r="H176" s="16" t="n"/>
      <c r="I176" s="13" t="n"/>
      <c r="Q176" s="13" t="n"/>
    </row>
    <row r="177" ht="15.75" customHeight="1" s="19">
      <c r="G177" s="16" t="n"/>
      <c r="H177" s="16" t="n"/>
      <c r="I177" s="13" t="n"/>
      <c r="Q177" s="13" t="n"/>
    </row>
    <row r="178" ht="15.75" customHeight="1" s="19">
      <c r="G178" s="16" t="n"/>
      <c r="H178" s="16" t="n"/>
      <c r="I178" s="13" t="n"/>
      <c r="Q178" s="13" t="n"/>
    </row>
    <row r="179" ht="15.75" customHeight="1" s="19">
      <c r="G179" s="16" t="n"/>
      <c r="H179" s="16" t="n"/>
      <c r="I179" s="13" t="n"/>
      <c r="Q179" s="13" t="n"/>
    </row>
    <row r="180" ht="15.75" customHeight="1" s="19">
      <c r="G180" s="16" t="n"/>
      <c r="H180" s="16" t="n"/>
      <c r="I180" s="13" t="n"/>
      <c r="Q180" s="13" t="n"/>
    </row>
    <row r="181" ht="15.75" customHeight="1" s="19">
      <c r="G181" s="16" t="n"/>
      <c r="H181" s="16" t="n"/>
      <c r="I181" s="13" t="n"/>
      <c r="Q181" s="13" t="n"/>
    </row>
    <row r="182" ht="15.75" customHeight="1" s="19">
      <c r="G182" s="16" t="n"/>
      <c r="H182" s="16" t="n"/>
      <c r="I182" s="13" t="n"/>
      <c r="Q182" s="13" t="n"/>
    </row>
    <row r="183" ht="15.75" customHeight="1" s="19">
      <c r="G183" s="16" t="n"/>
      <c r="H183" s="16" t="n"/>
      <c r="I183" s="13" t="n"/>
      <c r="Q183" s="13" t="n"/>
    </row>
    <row r="184" ht="15.75" customHeight="1" s="19">
      <c r="G184" s="16" t="n"/>
      <c r="H184" s="16" t="n"/>
      <c r="I184" s="13" t="n"/>
      <c r="Q184" s="13" t="n"/>
    </row>
    <row r="185" ht="15.75" customHeight="1" s="19">
      <c r="G185" s="16" t="n"/>
      <c r="H185" s="16" t="n"/>
      <c r="I185" s="13" t="n"/>
      <c r="Q185" s="13" t="n"/>
    </row>
    <row r="186" ht="15.75" customHeight="1" s="19">
      <c r="G186" s="16" t="n"/>
      <c r="H186" s="16" t="n"/>
      <c r="I186" s="13" t="n"/>
      <c r="Q186" s="13" t="n"/>
    </row>
    <row r="187" ht="15.75" customHeight="1" s="19">
      <c r="G187" s="16" t="n"/>
      <c r="H187" s="16" t="n"/>
      <c r="I187" s="13" t="n"/>
      <c r="Q187" s="13" t="n"/>
    </row>
    <row r="188" ht="15.75" customHeight="1" s="19">
      <c r="G188" s="16" t="n"/>
      <c r="H188" s="16" t="n"/>
      <c r="I188" s="13" t="n"/>
      <c r="Q188" s="13" t="n"/>
    </row>
    <row r="189" ht="15.75" customHeight="1" s="19">
      <c r="G189" s="16" t="n"/>
      <c r="H189" s="16" t="n"/>
      <c r="I189" s="13" t="n"/>
      <c r="Q189" s="13" t="n"/>
    </row>
    <row r="190" ht="15.75" customHeight="1" s="19">
      <c r="G190" s="16" t="n"/>
      <c r="H190" s="16" t="n"/>
      <c r="I190" s="13" t="n"/>
      <c r="Q190" s="13" t="n"/>
    </row>
    <row r="191" ht="15.75" customHeight="1" s="19">
      <c r="G191" s="16" t="n"/>
      <c r="H191" s="16" t="n"/>
      <c r="I191" s="13" t="n"/>
      <c r="Q191" s="13" t="n"/>
    </row>
    <row r="192" ht="15.75" customHeight="1" s="19">
      <c r="G192" s="16" t="n"/>
      <c r="H192" s="16" t="n"/>
      <c r="I192" s="13" t="n"/>
      <c r="Q192" s="13" t="n"/>
    </row>
    <row r="193" ht="15.75" customHeight="1" s="19">
      <c r="G193" s="16" t="n"/>
      <c r="H193" s="16" t="n"/>
      <c r="I193" s="13" t="n"/>
      <c r="Q193" s="13" t="n"/>
    </row>
    <row r="194" ht="15.75" customHeight="1" s="19">
      <c r="G194" s="16" t="n"/>
      <c r="H194" s="16" t="n"/>
      <c r="I194" s="13" t="n"/>
      <c r="Q194" s="13" t="n"/>
    </row>
    <row r="195" ht="15.75" customHeight="1" s="19">
      <c r="G195" s="16" t="n"/>
      <c r="H195" s="16" t="n"/>
      <c r="I195" s="13" t="n"/>
      <c r="Q195" s="13" t="n"/>
    </row>
    <row r="196" ht="15.75" customHeight="1" s="19">
      <c r="G196" s="16" t="n"/>
      <c r="H196" s="16" t="n"/>
      <c r="I196" s="13" t="n"/>
      <c r="Q196" s="13" t="n"/>
    </row>
    <row r="197" ht="15.75" customHeight="1" s="19">
      <c r="G197" s="16" t="n"/>
      <c r="H197" s="16" t="n"/>
      <c r="I197" s="13" t="n"/>
      <c r="Q197" s="13" t="n"/>
    </row>
    <row r="198" ht="15.75" customHeight="1" s="19">
      <c r="G198" s="16" t="n"/>
      <c r="H198" s="16" t="n"/>
      <c r="I198" s="13" t="n"/>
      <c r="Q198" s="13" t="n"/>
    </row>
    <row r="199" ht="15.75" customHeight="1" s="19">
      <c r="G199" s="16" t="n"/>
      <c r="H199" s="16" t="n"/>
      <c r="I199" s="13" t="n"/>
      <c r="Q199" s="13" t="n"/>
    </row>
    <row r="200" ht="15.75" customHeight="1" s="19">
      <c r="G200" s="16" t="n"/>
      <c r="H200" s="16" t="n"/>
      <c r="I200" s="13" t="n"/>
      <c r="Q200" s="13" t="n"/>
    </row>
    <row r="201" ht="15.75" customHeight="1" s="19">
      <c r="G201" s="16" t="n"/>
      <c r="H201" s="16" t="n"/>
      <c r="I201" s="13" t="n"/>
      <c r="Q201" s="13" t="n"/>
    </row>
    <row r="202" ht="15.75" customHeight="1" s="19">
      <c r="G202" s="16" t="n"/>
      <c r="H202" s="16" t="n"/>
      <c r="I202" s="13" t="n"/>
      <c r="Q202" s="13" t="n"/>
    </row>
    <row r="203" ht="15.75" customHeight="1" s="19">
      <c r="G203" s="16" t="n"/>
      <c r="H203" s="16" t="n"/>
      <c r="I203" s="13" t="n"/>
      <c r="Q203" s="13" t="n"/>
    </row>
    <row r="204" ht="15.75" customHeight="1" s="19">
      <c r="G204" s="16" t="n"/>
      <c r="H204" s="16" t="n"/>
      <c r="I204" s="13" t="n"/>
      <c r="Q204" s="13" t="n"/>
    </row>
    <row r="205" ht="15.75" customHeight="1" s="19">
      <c r="G205" s="16" t="n"/>
      <c r="H205" s="16" t="n"/>
      <c r="I205" s="13" t="n"/>
      <c r="Q205" s="13" t="n"/>
    </row>
    <row r="206" ht="15.75" customHeight="1" s="19">
      <c r="G206" s="16" t="n"/>
      <c r="H206" s="16" t="n"/>
      <c r="I206" s="13" t="n"/>
      <c r="Q206" s="13" t="n"/>
    </row>
    <row r="207" ht="15.75" customHeight="1" s="19">
      <c r="G207" s="16" t="n"/>
      <c r="H207" s="16" t="n"/>
      <c r="I207" s="13" t="n"/>
      <c r="Q207" s="13" t="n"/>
    </row>
    <row r="208" ht="15.75" customHeight="1" s="19">
      <c r="G208" s="16" t="n"/>
      <c r="H208" s="16" t="n"/>
      <c r="I208" s="13" t="n"/>
      <c r="Q208" s="13" t="n"/>
    </row>
    <row r="209" ht="15.75" customHeight="1" s="19">
      <c r="G209" s="16" t="n"/>
      <c r="H209" s="16" t="n"/>
      <c r="I209" s="13" t="n"/>
      <c r="Q209" s="13" t="n"/>
    </row>
    <row r="210" ht="15.75" customHeight="1" s="19">
      <c r="G210" s="16" t="n"/>
      <c r="H210" s="16" t="n"/>
      <c r="I210" s="13" t="n"/>
      <c r="Q210" s="13" t="n"/>
    </row>
    <row r="211" ht="15.75" customHeight="1" s="19">
      <c r="G211" s="16" t="n"/>
      <c r="H211" s="16" t="n"/>
      <c r="I211" s="13" t="n"/>
      <c r="Q211" s="13" t="n"/>
    </row>
    <row r="212" ht="15.75" customHeight="1" s="19">
      <c r="G212" s="16" t="n"/>
      <c r="H212" s="16" t="n"/>
      <c r="I212" s="13" t="n"/>
      <c r="Q212" s="13" t="n"/>
    </row>
    <row r="213" ht="15.75" customHeight="1" s="19">
      <c r="G213" s="16" t="n"/>
      <c r="H213" s="16" t="n"/>
      <c r="I213" s="13" t="n"/>
      <c r="Q213" s="13" t="n"/>
    </row>
    <row r="214" ht="15.75" customHeight="1" s="19">
      <c r="G214" s="16" t="n"/>
      <c r="H214" s="16" t="n"/>
      <c r="I214" s="13" t="n"/>
      <c r="Q214" s="13" t="n"/>
    </row>
    <row r="215" ht="15.75" customHeight="1" s="19">
      <c r="G215" s="16" t="n"/>
      <c r="H215" s="16" t="n"/>
      <c r="I215" s="13" t="n"/>
      <c r="Q215" s="13" t="n"/>
    </row>
    <row r="216" ht="15.75" customHeight="1" s="19">
      <c r="G216" s="16" t="n"/>
      <c r="H216" s="16" t="n"/>
      <c r="I216" s="13" t="n"/>
      <c r="Q216" s="13" t="n"/>
    </row>
    <row r="217" ht="15.75" customHeight="1" s="19">
      <c r="G217" s="16" t="n"/>
      <c r="H217" s="16" t="n"/>
      <c r="I217" s="13" t="n"/>
      <c r="Q217" s="13" t="n"/>
    </row>
    <row r="218" ht="15.75" customHeight="1" s="19">
      <c r="G218" s="16" t="n"/>
      <c r="H218" s="16" t="n"/>
      <c r="I218" s="13" t="n"/>
      <c r="Q218" s="13" t="n"/>
    </row>
    <row r="219" ht="15.75" customHeight="1" s="19">
      <c r="G219" s="16" t="n"/>
      <c r="H219" s="16" t="n"/>
      <c r="I219" s="13" t="n"/>
      <c r="Q219" s="13" t="n"/>
    </row>
    <row r="220" ht="15.75" customHeight="1" s="19">
      <c r="G220" s="16" t="n"/>
      <c r="H220" s="16" t="n"/>
      <c r="I220" s="13" t="n"/>
      <c r="Q220" s="13" t="n"/>
    </row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1:$R$301"/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22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19" min="1" max="28"/>
  </cols>
  <sheetData>
    <row r="1" ht="30" customHeight="1" s="19">
      <c r="A1" s="17" t="inlineStr">
        <is>
          <t>Lead ID</t>
        </is>
      </c>
      <c r="B1" s="17" t="inlineStr">
        <is>
          <t>Business Name</t>
        </is>
      </c>
      <c r="C1" s="17" t="inlineStr">
        <is>
          <t>Has Website?</t>
        </is>
      </c>
      <c r="D1" s="17" t="inlineStr">
        <is>
          <t>Website Platform</t>
        </is>
      </c>
      <c r="E1" s="17" t="inlineStr">
        <is>
          <t>Website Quality</t>
        </is>
      </c>
      <c r="F1" s="17" t="inlineStr">
        <is>
          <t>Mobile Quality</t>
        </is>
      </c>
      <c r="G1" s="17" t="inlineStr">
        <is>
          <t>Custom Domain?</t>
        </is>
      </c>
      <c r="H1" s="17" t="inlineStr">
        <is>
          <t>HTTPS?</t>
        </is>
      </c>
      <c r="I1" s="17" t="inlineStr">
        <is>
          <t>Online Booking?</t>
        </is>
      </c>
      <c r="J1" s="17" t="inlineStr">
        <is>
          <t>Booking Method</t>
        </is>
      </c>
      <c r="K1" s="17" t="inlineStr">
        <is>
          <t>Online Payments?</t>
        </is>
      </c>
      <c r="L1" s="17" t="inlineStr">
        <is>
          <t>Ecommerce?</t>
        </is>
      </c>
      <c r="M1" s="17" t="inlineStr">
        <is>
          <t>Contact Form?</t>
        </is>
      </c>
      <c r="N1" s="17" t="inlineStr">
        <is>
          <t>Chat?</t>
        </is>
      </c>
      <c r="O1" s="17" t="inlineStr">
        <is>
          <t>Reviews Displayed?</t>
        </is>
      </c>
      <c r="P1" s="17" t="inlineStr">
        <is>
          <t>Gallery?</t>
        </is>
      </c>
      <c r="Q1" s="17" t="inlineStr">
        <is>
          <t>Blog?</t>
        </is>
      </c>
      <c r="R1" s="17" t="inlineStr">
        <is>
          <t>Customer Portal?</t>
        </is>
      </c>
      <c r="S1" s="17" t="inlineStr">
        <is>
          <t>Current Booking Software</t>
        </is>
      </c>
      <c r="T1" s="17" t="inlineStr">
        <is>
          <t>Current Payment Software</t>
        </is>
      </c>
      <c r="U1" s="17" t="inlineStr">
        <is>
          <t>Current CRM</t>
        </is>
      </c>
      <c r="V1" s="17" t="inlineStr">
        <is>
          <t>Current Accounting</t>
        </is>
      </c>
      <c r="W1" s="17" t="inlineStr">
        <is>
          <t>Current Invoicing</t>
        </is>
      </c>
      <c r="X1" s="17" t="inlineStr">
        <is>
          <t>Current Email Marketing</t>
        </is>
      </c>
      <c r="Y1" s="17" t="inlineStr">
        <is>
          <t>Current POS</t>
        </is>
      </c>
      <c r="Z1" s="17" t="inlineStr">
        <is>
          <t>Research Notes</t>
        </is>
      </c>
      <c r="AA1" s="17" t="inlineStr">
        <is>
          <t>Researcher</t>
        </is>
      </c>
      <c r="AB1" s="17" t="inlineStr">
        <is>
          <t>Research Date</t>
        </is>
      </c>
    </row>
    <row r="2">
      <c r="AB2" s="13" t="n"/>
    </row>
    <row r="3">
      <c r="AB3" s="13" t="n"/>
    </row>
    <row r="4">
      <c r="AB4" s="13" t="n"/>
    </row>
    <row r="5">
      <c r="AB5" s="13" t="n"/>
    </row>
    <row r="6">
      <c r="AB6" s="13" t="n"/>
    </row>
    <row r="7">
      <c r="AB7" s="13" t="n"/>
    </row>
    <row r="8">
      <c r="AB8" s="13" t="n"/>
    </row>
    <row r="9">
      <c r="AB9" s="13" t="n"/>
    </row>
    <row r="10">
      <c r="AB10" s="13" t="n"/>
    </row>
    <row r="11">
      <c r="AB11" s="13" t="n"/>
    </row>
    <row r="12">
      <c r="AB12" s="13" t="n"/>
    </row>
    <row r="13">
      <c r="AB13" s="13" t="n"/>
    </row>
    <row r="14">
      <c r="AB14" s="13" t="n"/>
    </row>
    <row r="15">
      <c r="AB15" s="13" t="n"/>
    </row>
    <row r="16">
      <c r="AB16" s="13" t="n"/>
    </row>
    <row r="17">
      <c r="AB17" s="13" t="n"/>
    </row>
    <row r="18">
      <c r="AB18" s="13" t="n"/>
    </row>
    <row r="19">
      <c r="AB19" s="13" t="n"/>
    </row>
    <row r="20">
      <c r="AB20" s="13" t="n"/>
    </row>
    <row r="21" ht="15.75" customHeight="1" s="19">
      <c r="AB21" s="13" t="n"/>
    </row>
    <row r="22" ht="15.75" customHeight="1" s="19">
      <c r="AB22" s="13" t="n"/>
    </row>
    <row r="23" ht="15.75" customHeight="1" s="19">
      <c r="AB23" s="13" t="n"/>
    </row>
    <row r="24" ht="15.75" customHeight="1" s="19">
      <c r="AB24" s="13" t="n"/>
    </row>
    <row r="25" ht="15.75" customHeight="1" s="19">
      <c r="AB25" s="13" t="n"/>
    </row>
    <row r="26" ht="15.75" customHeight="1" s="19">
      <c r="AB26" s="13" t="n"/>
    </row>
    <row r="27" ht="15.75" customHeight="1" s="19">
      <c r="AB27" s="13" t="n"/>
    </row>
    <row r="28" ht="15.75" customHeight="1" s="19">
      <c r="AB28" s="13" t="n"/>
    </row>
    <row r="29" ht="15.75" customHeight="1" s="19">
      <c r="AB29" s="13" t="n"/>
    </row>
    <row r="30" ht="15.75" customHeight="1" s="19">
      <c r="AB30" s="13" t="n"/>
    </row>
    <row r="31" ht="15.75" customHeight="1" s="19">
      <c r="AB31" s="13" t="n"/>
    </row>
    <row r="32" ht="15.75" customHeight="1" s="19">
      <c r="AB32" s="13" t="n"/>
    </row>
    <row r="33" ht="15.75" customHeight="1" s="19">
      <c r="AB33" s="13" t="n"/>
    </row>
    <row r="34" ht="15.75" customHeight="1" s="19">
      <c r="AB34" s="13" t="n"/>
    </row>
    <row r="35" ht="15.75" customHeight="1" s="19">
      <c r="AB35" s="13" t="n"/>
    </row>
    <row r="36" ht="15.75" customHeight="1" s="19">
      <c r="AB36" s="13" t="n"/>
    </row>
    <row r="37" ht="15.75" customHeight="1" s="19">
      <c r="AB37" s="13" t="n"/>
    </row>
    <row r="38" ht="15.75" customHeight="1" s="19">
      <c r="AB38" s="13" t="n"/>
    </row>
    <row r="39" ht="15.75" customHeight="1" s="19">
      <c r="AB39" s="13" t="n"/>
    </row>
    <row r="40" ht="15.75" customHeight="1" s="19">
      <c r="AB40" s="13" t="n"/>
    </row>
    <row r="41" ht="15.75" customHeight="1" s="19">
      <c r="AB41" s="13" t="n"/>
    </row>
    <row r="42" ht="15.75" customHeight="1" s="19">
      <c r="AB42" s="13" t="n"/>
    </row>
    <row r="43" ht="15.75" customHeight="1" s="19">
      <c r="AB43" s="13" t="n"/>
    </row>
    <row r="44" ht="15.75" customHeight="1" s="19">
      <c r="AB44" s="13" t="n"/>
    </row>
    <row r="45" ht="15.75" customHeight="1" s="19">
      <c r="AB45" s="13" t="n"/>
    </row>
    <row r="46" ht="15.75" customHeight="1" s="19">
      <c r="AB46" s="13" t="n"/>
    </row>
    <row r="47" ht="15.75" customHeight="1" s="19">
      <c r="AB47" s="13" t="n"/>
    </row>
    <row r="48" ht="15.75" customHeight="1" s="19">
      <c r="AB48" s="13" t="n"/>
    </row>
    <row r="49" ht="15.75" customHeight="1" s="19">
      <c r="AB49" s="13" t="n"/>
    </row>
    <row r="50" ht="15.75" customHeight="1" s="19">
      <c r="AB50" s="13" t="n"/>
    </row>
    <row r="51" ht="15.75" customHeight="1" s="19">
      <c r="AB51" s="13" t="n"/>
    </row>
    <row r="52" ht="15.75" customHeight="1" s="19">
      <c r="AB52" s="13" t="n"/>
    </row>
    <row r="53" ht="15.75" customHeight="1" s="19">
      <c r="AB53" s="13" t="n"/>
    </row>
    <row r="54" ht="15.75" customHeight="1" s="19">
      <c r="AB54" s="13" t="n"/>
    </row>
    <row r="55" ht="15.75" customHeight="1" s="19">
      <c r="AB55" s="13" t="n"/>
    </row>
    <row r="56" ht="15.75" customHeight="1" s="19">
      <c r="AB56" s="13" t="n"/>
    </row>
    <row r="57" ht="15.75" customHeight="1" s="19">
      <c r="AB57" s="13" t="n"/>
    </row>
    <row r="58" ht="15.75" customHeight="1" s="19">
      <c r="AB58" s="13" t="n"/>
    </row>
    <row r="59" ht="15.75" customHeight="1" s="19">
      <c r="AB59" s="13" t="n"/>
    </row>
    <row r="60" ht="15.75" customHeight="1" s="19">
      <c r="AB60" s="13" t="n"/>
    </row>
    <row r="61" ht="15.75" customHeight="1" s="19">
      <c r="AB61" s="13" t="n"/>
    </row>
    <row r="62" ht="15.75" customHeight="1" s="19">
      <c r="AB62" s="13" t="n"/>
    </row>
    <row r="63" ht="15.75" customHeight="1" s="19">
      <c r="AB63" s="13" t="n"/>
    </row>
    <row r="64" ht="15.75" customHeight="1" s="19">
      <c r="AB64" s="13" t="n"/>
    </row>
    <row r="65" ht="15.75" customHeight="1" s="19">
      <c r="AB65" s="13" t="n"/>
    </row>
    <row r="66" ht="15.75" customHeight="1" s="19">
      <c r="AB66" s="13" t="n"/>
    </row>
    <row r="67" ht="15.75" customHeight="1" s="19">
      <c r="AB67" s="13" t="n"/>
    </row>
    <row r="68" ht="15.75" customHeight="1" s="19">
      <c r="AB68" s="13" t="n"/>
    </row>
    <row r="69" ht="15.75" customHeight="1" s="19">
      <c r="AB69" s="13" t="n"/>
    </row>
    <row r="70" ht="15.75" customHeight="1" s="19">
      <c r="AB70" s="13" t="n"/>
    </row>
    <row r="71" ht="15.75" customHeight="1" s="19">
      <c r="AB71" s="13" t="n"/>
    </row>
    <row r="72" ht="15.75" customHeight="1" s="19">
      <c r="AB72" s="13" t="n"/>
    </row>
    <row r="73" ht="15.75" customHeight="1" s="19">
      <c r="AB73" s="13" t="n"/>
    </row>
    <row r="74" ht="15.75" customHeight="1" s="19">
      <c r="AB74" s="13" t="n"/>
    </row>
    <row r="75" ht="15.75" customHeight="1" s="19">
      <c r="AB75" s="13" t="n"/>
    </row>
    <row r="76" ht="15.75" customHeight="1" s="19">
      <c r="AB76" s="13" t="n"/>
    </row>
    <row r="77" ht="15.75" customHeight="1" s="19">
      <c r="AB77" s="13" t="n"/>
    </row>
    <row r="78" ht="15.75" customHeight="1" s="19">
      <c r="AB78" s="13" t="n"/>
    </row>
    <row r="79" ht="15.75" customHeight="1" s="19">
      <c r="AB79" s="13" t="n"/>
    </row>
    <row r="80" ht="15.75" customHeight="1" s="19">
      <c r="AB80" s="13" t="n"/>
    </row>
    <row r="81" ht="15.75" customHeight="1" s="19">
      <c r="AB81" s="13" t="n"/>
    </row>
    <row r="82" ht="15.75" customHeight="1" s="19">
      <c r="AB82" s="13" t="n"/>
    </row>
    <row r="83" ht="15.75" customHeight="1" s="19">
      <c r="AB83" s="13" t="n"/>
    </row>
    <row r="84" ht="15.75" customHeight="1" s="19">
      <c r="AB84" s="13" t="n"/>
    </row>
    <row r="85" ht="15.75" customHeight="1" s="19">
      <c r="AB85" s="13" t="n"/>
    </row>
    <row r="86" ht="15.75" customHeight="1" s="19">
      <c r="AB86" s="13" t="n"/>
    </row>
    <row r="87" ht="15.75" customHeight="1" s="19">
      <c r="AB87" s="13" t="n"/>
    </row>
    <row r="88" ht="15.75" customHeight="1" s="19">
      <c r="AB88" s="13" t="n"/>
    </row>
    <row r="89" ht="15.75" customHeight="1" s="19">
      <c r="AB89" s="13" t="n"/>
    </row>
    <row r="90" ht="15.75" customHeight="1" s="19">
      <c r="AB90" s="13" t="n"/>
    </row>
    <row r="91" ht="15.75" customHeight="1" s="19">
      <c r="AB91" s="13" t="n"/>
    </row>
    <row r="92" ht="15.75" customHeight="1" s="19">
      <c r="AB92" s="13" t="n"/>
    </row>
    <row r="93" ht="15.75" customHeight="1" s="19">
      <c r="AB93" s="13" t="n"/>
    </row>
    <row r="94" ht="15.75" customHeight="1" s="19">
      <c r="AB94" s="13" t="n"/>
    </row>
    <row r="95" ht="15.75" customHeight="1" s="19">
      <c r="AB95" s="13" t="n"/>
    </row>
    <row r="96" ht="15.75" customHeight="1" s="19">
      <c r="AB96" s="13" t="n"/>
    </row>
    <row r="97" ht="15.75" customHeight="1" s="19">
      <c r="AB97" s="13" t="n"/>
    </row>
    <row r="98" ht="15.75" customHeight="1" s="19">
      <c r="AB98" s="13" t="n"/>
    </row>
    <row r="99" ht="15.75" customHeight="1" s="19">
      <c r="AB99" s="13" t="n"/>
    </row>
    <row r="100" ht="15.75" customHeight="1" s="19">
      <c r="AB100" s="13" t="n"/>
    </row>
    <row r="101" ht="15.75" customHeight="1" s="19">
      <c r="AB101" s="13" t="n"/>
    </row>
    <row r="102" ht="15.75" customHeight="1" s="19">
      <c r="AB102" s="13" t="n"/>
    </row>
    <row r="103" ht="15.75" customHeight="1" s="19">
      <c r="AB103" s="13" t="n"/>
    </row>
    <row r="104" ht="15.75" customHeight="1" s="19">
      <c r="AB104" s="13" t="n"/>
    </row>
    <row r="105" ht="15.75" customHeight="1" s="19">
      <c r="AB105" s="13" t="n"/>
    </row>
    <row r="106" ht="15.75" customHeight="1" s="19">
      <c r="AB106" s="13" t="n"/>
    </row>
    <row r="107" ht="15.75" customHeight="1" s="19">
      <c r="AB107" s="13" t="n"/>
    </row>
    <row r="108" ht="15.75" customHeight="1" s="19">
      <c r="AB108" s="13" t="n"/>
    </row>
    <row r="109" ht="15.75" customHeight="1" s="19">
      <c r="AB109" s="13" t="n"/>
    </row>
    <row r="110" ht="15.75" customHeight="1" s="19">
      <c r="AB110" s="13" t="n"/>
    </row>
    <row r="111" ht="15.75" customHeight="1" s="19">
      <c r="AB111" s="13" t="n"/>
    </row>
    <row r="112" ht="15.75" customHeight="1" s="19">
      <c r="AB112" s="13" t="n"/>
    </row>
    <row r="113" ht="15.75" customHeight="1" s="19">
      <c r="AB113" s="13" t="n"/>
    </row>
    <row r="114" ht="15.75" customHeight="1" s="19">
      <c r="AB114" s="13" t="n"/>
    </row>
    <row r="115" ht="15.75" customHeight="1" s="19">
      <c r="AB115" s="13" t="n"/>
    </row>
    <row r="116" ht="15.75" customHeight="1" s="19">
      <c r="AB116" s="13" t="n"/>
    </row>
    <row r="117" ht="15.75" customHeight="1" s="19">
      <c r="AB117" s="13" t="n"/>
    </row>
    <row r="118" ht="15.75" customHeight="1" s="19">
      <c r="AB118" s="13" t="n"/>
    </row>
    <row r="119" ht="15.75" customHeight="1" s="19">
      <c r="AB119" s="13" t="n"/>
    </row>
    <row r="120" ht="15.75" customHeight="1" s="19">
      <c r="AB120" s="13" t="n"/>
    </row>
    <row r="121" ht="15.75" customHeight="1" s="19">
      <c r="AB121" s="13" t="n"/>
    </row>
    <row r="122" ht="15.75" customHeight="1" s="19">
      <c r="AB122" s="13" t="n"/>
    </row>
    <row r="123" ht="15.75" customHeight="1" s="19">
      <c r="AB123" s="13" t="n"/>
    </row>
    <row r="124" ht="15.75" customHeight="1" s="19">
      <c r="AB124" s="13" t="n"/>
    </row>
    <row r="125" ht="15.75" customHeight="1" s="19">
      <c r="AB125" s="13" t="n"/>
    </row>
    <row r="126" ht="15.75" customHeight="1" s="19">
      <c r="AB126" s="13" t="n"/>
    </row>
    <row r="127" ht="15.75" customHeight="1" s="19">
      <c r="AB127" s="13" t="n"/>
    </row>
    <row r="128" ht="15.75" customHeight="1" s="19">
      <c r="AB128" s="13" t="n"/>
    </row>
    <row r="129" ht="15.75" customHeight="1" s="19">
      <c r="AB129" s="13" t="n"/>
    </row>
    <row r="130" ht="15.75" customHeight="1" s="19">
      <c r="AB130" s="13" t="n"/>
    </row>
    <row r="131" ht="15.75" customHeight="1" s="19">
      <c r="AB131" s="13" t="n"/>
    </row>
    <row r="132" ht="15.75" customHeight="1" s="19">
      <c r="AB132" s="13" t="n"/>
    </row>
    <row r="133" ht="15.75" customHeight="1" s="19">
      <c r="AB133" s="13" t="n"/>
    </row>
    <row r="134" ht="15.75" customHeight="1" s="19">
      <c r="AB134" s="13" t="n"/>
    </row>
    <row r="135" ht="15.75" customHeight="1" s="19">
      <c r="AB135" s="13" t="n"/>
    </row>
    <row r="136" ht="15.75" customHeight="1" s="19">
      <c r="AB136" s="13" t="n"/>
    </row>
    <row r="137" ht="15.75" customHeight="1" s="19">
      <c r="AB137" s="13" t="n"/>
    </row>
    <row r="138" ht="15.75" customHeight="1" s="19">
      <c r="AB138" s="13" t="n"/>
    </row>
    <row r="139" ht="15.75" customHeight="1" s="19">
      <c r="AB139" s="13" t="n"/>
    </row>
    <row r="140" ht="15.75" customHeight="1" s="19">
      <c r="AB140" s="13" t="n"/>
    </row>
    <row r="141" ht="15.75" customHeight="1" s="19">
      <c r="AB141" s="13" t="n"/>
    </row>
    <row r="142" ht="15.75" customHeight="1" s="19">
      <c r="AB142" s="13" t="n"/>
    </row>
    <row r="143" ht="15.75" customHeight="1" s="19">
      <c r="AB143" s="13" t="n"/>
    </row>
    <row r="144" ht="15.75" customHeight="1" s="19">
      <c r="AB144" s="13" t="n"/>
    </row>
    <row r="145" ht="15.75" customHeight="1" s="19">
      <c r="AB145" s="13" t="n"/>
    </row>
    <row r="146" ht="15.75" customHeight="1" s="19">
      <c r="AB146" s="13" t="n"/>
    </row>
    <row r="147" ht="15.75" customHeight="1" s="19">
      <c r="AB147" s="13" t="n"/>
    </row>
    <row r="148" ht="15.75" customHeight="1" s="19">
      <c r="AB148" s="13" t="n"/>
    </row>
    <row r="149" ht="15.75" customHeight="1" s="19">
      <c r="AB149" s="13" t="n"/>
    </row>
    <row r="150" ht="15.75" customHeight="1" s="19">
      <c r="AB150" s="13" t="n"/>
    </row>
    <row r="151" ht="15.75" customHeight="1" s="19">
      <c r="AB151" s="13" t="n"/>
    </row>
    <row r="152" ht="15.75" customHeight="1" s="19">
      <c r="AB152" s="13" t="n"/>
    </row>
    <row r="153" ht="15.75" customHeight="1" s="19">
      <c r="AB153" s="13" t="n"/>
    </row>
    <row r="154" ht="15.75" customHeight="1" s="19">
      <c r="AB154" s="13" t="n"/>
    </row>
    <row r="155" ht="15.75" customHeight="1" s="19">
      <c r="AB155" s="13" t="n"/>
    </row>
    <row r="156" ht="15.75" customHeight="1" s="19">
      <c r="AB156" s="13" t="n"/>
    </row>
    <row r="157" ht="15.75" customHeight="1" s="19">
      <c r="AB157" s="13" t="n"/>
    </row>
    <row r="158" ht="15.75" customHeight="1" s="19">
      <c r="AB158" s="13" t="n"/>
    </row>
    <row r="159" ht="15.75" customHeight="1" s="19">
      <c r="AB159" s="13" t="n"/>
    </row>
    <row r="160" ht="15.75" customHeight="1" s="19">
      <c r="AB160" s="13" t="n"/>
    </row>
    <row r="161" ht="15.75" customHeight="1" s="19">
      <c r="AB161" s="13" t="n"/>
    </row>
    <row r="162" ht="15.75" customHeight="1" s="19">
      <c r="AB162" s="13" t="n"/>
    </row>
    <row r="163" ht="15.75" customHeight="1" s="19">
      <c r="AB163" s="13" t="n"/>
    </row>
    <row r="164" ht="15.75" customHeight="1" s="19">
      <c r="AB164" s="13" t="n"/>
    </row>
    <row r="165" ht="15.75" customHeight="1" s="19">
      <c r="AB165" s="13" t="n"/>
    </row>
    <row r="166" ht="15.75" customHeight="1" s="19">
      <c r="AB166" s="13" t="n"/>
    </row>
    <row r="167" ht="15.75" customHeight="1" s="19">
      <c r="AB167" s="13" t="n"/>
    </row>
    <row r="168" ht="15.75" customHeight="1" s="19">
      <c r="AB168" s="13" t="n"/>
    </row>
    <row r="169" ht="15.75" customHeight="1" s="19">
      <c r="AB169" s="13" t="n"/>
    </row>
    <row r="170" ht="15.75" customHeight="1" s="19">
      <c r="AB170" s="13" t="n"/>
    </row>
    <row r="171" ht="15.75" customHeight="1" s="19">
      <c r="AB171" s="13" t="n"/>
    </row>
    <row r="172" ht="15.75" customHeight="1" s="19">
      <c r="AB172" s="13" t="n"/>
    </row>
    <row r="173" ht="15.75" customHeight="1" s="19">
      <c r="AB173" s="13" t="n"/>
    </row>
    <row r="174" ht="15.75" customHeight="1" s="19">
      <c r="AB174" s="13" t="n"/>
    </row>
    <row r="175" ht="15.75" customHeight="1" s="19">
      <c r="AB175" s="13" t="n"/>
    </row>
    <row r="176" ht="15.75" customHeight="1" s="19">
      <c r="AB176" s="13" t="n"/>
    </row>
    <row r="177" ht="15.75" customHeight="1" s="19">
      <c r="AB177" s="13" t="n"/>
    </row>
    <row r="178" ht="15.75" customHeight="1" s="19">
      <c r="AB178" s="13" t="n"/>
    </row>
    <row r="179" ht="15.75" customHeight="1" s="19">
      <c r="AB179" s="13" t="n"/>
    </row>
    <row r="180" ht="15.75" customHeight="1" s="19">
      <c r="AB180" s="13" t="n"/>
    </row>
    <row r="181" ht="15.75" customHeight="1" s="19">
      <c r="AB181" s="13" t="n"/>
    </row>
    <row r="182" ht="15.75" customHeight="1" s="19">
      <c r="AB182" s="13" t="n"/>
    </row>
    <row r="183" ht="15.75" customHeight="1" s="19">
      <c r="AB183" s="13" t="n"/>
    </row>
    <row r="184" ht="15.75" customHeight="1" s="19">
      <c r="AB184" s="13" t="n"/>
    </row>
    <row r="185" ht="15.75" customHeight="1" s="19">
      <c r="AB185" s="13" t="n"/>
    </row>
    <row r="186" ht="15.75" customHeight="1" s="19">
      <c r="AB186" s="13" t="n"/>
    </row>
    <row r="187" ht="15.75" customHeight="1" s="19">
      <c r="AB187" s="13" t="n"/>
    </row>
    <row r="188" ht="15.75" customHeight="1" s="19">
      <c r="AB188" s="13" t="n"/>
    </row>
    <row r="189" ht="15.75" customHeight="1" s="19">
      <c r="AB189" s="13" t="n"/>
    </row>
    <row r="190" ht="15.75" customHeight="1" s="19">
      <c r="AB190" s="13" t="n"/>
    </row>
    <row r="191" ht="15.75" customHeight="1" s="19">
      <c r="AB191" s="13" t="n"/>
    </row>
    <row r="192" ht="15.75" customHeight="1" s="19">
      <c r="AB192" s="13" t="n"/>
    </row>
    <row r="193" ht="15.75" customHeight="1" s="19">
      <c r="AB193" s="13" t="n"/>
    </row>
    <row r="194" ht="15.75" customHeight="1" s="19">
      <c r="AB194" s="13" t="n"/>
    </row>
    <row r="195" ht="15.75" customHeight="1" s="19">
      <c r="AB195" s="13" t="n"/>
    </row>
    <row r="196" ht="15.75" customHeight="1" s="19">
      <c r="AB196" s="13" t="n"/>
    </row>
    <row r="197" ht="15.75" customHeight="1" s="19">
      <c r="AB197" s="13" t="n"/>
    </row>
    <row r="198" ht="15.75" customHeight="1" s="19">
      <c r="AB198" s="13" t="n"/>
    </row>
    <row r="199" ht="15.75" customHeight="1" s="19">
      <c r="AB199" s="13" t="n"/>
    </row>
    <row r="200" ht="15.75" customHeight="1" s="19">
      <c r="AB200" s="13" t="n"/>
    </row>
    <row r="201" ht="15.75" customHeight="1" s="19">
      <c r="AB201" s="13" t="n"/>
    </row>
    <row r="202" ht="15.75" customHeight="1" s="19">
      <c r="AB202" s="13" t="n"/>
    </row>
    <row r="203" ht="15.75" customHeight="1" s="19">
      <c r="AB203" s="13" t="n"/>
    </row>
    <row r="204" ht="15.75" customHeight="1" s="19">
      <c r="AB204" s="13" t="n"/>
    </row>
    <row r="205" ht="15.75" customHeight="1" s="19">
      <c r="AB205" s="13" t="n"/>
    </row>
    <row r="206" ht="15.75" customHeight="1" s="19">
      <c r="AB206" s="13" t="n"/>
    </row>
    <row r="207" ht="15.75" customHeight="1" s="19">
      <c r="AB207" s="13" t="n"/>
    </row>
    <row r="208" ht="15.75" customHeight="1" s="19">
      <c r="AB208" s="13" t="n"/>
    </row>
    <row r="209" ht="15.75" customHeight="1" s="19">
      <c r="AB209" s="13" t="n"/>
    </row>
    <row r="210" ht="15.75" customHeight="1" s="19">
      <c r="AB210" s="13" t="n"/>
    </row>
    <row r="211" ht="15.75" customHeight="1" s="19">
      <c r="AB211" s="13" t="n"/>
    </row>
    <row r="212" ht="15.75" customHeight="1" s="19">
      <c r="AB212" s="13" t="n"/>
    </row>
    <row r="213" ht="15.75" customHeight="1" s="19">
      <c r="AB213" s="13" t="n"/>
    </row>
    <row r="214" ht="15.75" customHeight="1" s="19">
      <c r="AB214" s="13" t="n"/>
    </row>
    <row r="215" ht="15.75" customHeight="1" s="19">
      <c r="AB215" s="13" t="n"/>
    </row>
    <row r="216" ht="15.75" customHeight="1" s="19">
      <c r="AB216" s="13" t="n"/>
    </row>
    <row r="217" ht="15.75" customHeight="1" s="19">
      <c r="AB217" s="13" t="n"/>
    </row>
    <row r="218" ht="15.75" customHeight="1" s="19">
      <c r="AB218" s="13" t="n"/>
    </row>
    <row r="219" ht="15.75" customHeight="1" s="19">
      <c r="AB219" s="13" t="n"/>
    </row>
    <row r="220" ht="15.75" customHeight="1" s="19">
      <c r="AB220" s="13" t="n"/>
    </row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1:$AB$501"/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9" min="1" max="9"/>
    <col width="54.14" customWidth="1" style="19" min="10" max="10"/>
    <col width="8.710000000000001" customWidth="1" style="19" min="11" max="26"/>
  </cols>
  <sheetData>
    <row r="1" ht="30" customHeight="1" s="19">
      <c r="A1" s="17" t="inlineStr">
        <is>
          <t>Feature ID</t>
        </is>
      </c>
      <c r="B1" s="17" t="inlineStr">
        <is>
          <t>Module</t>
        </is>
      </c>
      <c r="C1" s="17" t="inlineStr">
        <is>
          <t>Feature</t>
        </is>
      </c>
      <c r="D1" s="17" t="inlineStr">
        <is>
          <t>Description</t>
        </is>
      </c>
      <c r="E1" s="17" t="inlineStr">
        <is>
          <t>Available?</t>
        </is>
      </c>
      <c r="F1" s="17" t="inlineStr">
        <is>
          <t>Minimum Tier</t>
        </is>
      </c>
      <c r="G1" s="17" t="inlineStr">
        <is>
          <t>Sales Value</t>
        </is>
      </c>
      <c r="H1" s="17" t="inlineStr">
        <is>
          <t>Best Fit Industries</t>
        </is>
      </c>
      <c r="I1" s="17" t="inlineStr">
        <is>
          <t>Primary Pain Point Solved</t>
        </is>
      </c>
      <c r="J1" s="17" t="inlineStr">
        <is>
          <t>Sales Talking Point</t>
        </is>
      </c>
    </row>
    <row r="2">
      <c r="A2" s="2" t="inlineStr">
        <is>
          <t>F001</t>
        </is>
      </c>
      <c r="B2" s="2" t="inlineStr">
        <is>
          <t>Storefront</t>
        </is>
      </c>
      <c r="C2" s="2" t="inlineStr">
        <is>
          <t>Branded Storefront</t>
        </is>
      </c>
      <c r="D2" s="2" t="inlineStr">
        <is>
          <t>Public merchant storefront with themes</t>
        </is>
      </c>
      <c r="E2" s="2" t="inlineStr">
        <is>
          <t>Yes</t>
        </is>
      </c>
      <c r="F2" s="2" t="inlineStr">
        <is>
          <t>Starter</t>
        </is>
      </c>
      <c r="G2" s="2" t="inlineStr">
        <is>
          <t>High</t>
        </is>
      </c>
      <c r="H2" s="2" t="inlineStr">
        <is>
          <t>All</t>
        </is>
      </c>
      <c r="I2" s="2" t="inlineStr">
        <is>
          <t>Outdated/no website</t>
        </is>
      </c>
      <c r="J2" s="2" t="inlineStr">
        <is>
          <t>Give customers a professional branded home base.</t>
        </is>
      </c>
    </row>
    <row r="3">
      <c r="A3" s="2" t="inlineStr">
        <is>
          <t>F002</t>
        </is>
      </c>
      <c r="B3" s="2" t="inlineStr">
        <is>
          <t>Commerce</t>
        </is>
      </c>
      <c r="C3" s="2" t="inlineStr">
        <is>
          <t>Products</t>
        </is>
      </c>
      <c r="D3" s="2" t="inlineStr">
        <is>
          <t>Physical and digital products, variants and inventory</t>
        </is>
      </c>
      <c r="E3" s="2" t="inlineStr">
        <is>
          <t>Yes</t>
        </is>
      </c>
      <c r="F3" s="2" t="inlineStr">
        <is>
          <t>Free</t>
        </is>
      </c>
      <c r="G3" s="2" t="inlineStr">
        <is>
          <t>High</t>
        </is>
      </c>
      <c r="H3" s="2" t="inlineStr">
        <is>
          <t>Retail, creators, wholesale</t>
        </is>
      </c>
      <c r="I3" s="2" t="inlineStr">
        <is>
          <t>Manual catalog</t>
        </is>
      </c>
      <c r="J3" s="2" t="inlineStr">
        <is>
          <t>Manage products and inventory in one place.</t>
        </is>
      </c>
    </row>
    <row r="4">
      <c r="A4" s="2" t="inlineStr">
        <is>
          <t>F003</t>
        </is>
      </c>
      <c r="B4" s="2" t="inlineStr">
        <is>
          <t>Scheduling</t>
        </is>
      </c>
      <c r="C4" s="2" t="inlineStr">
        <is>
          <t>Scheduling</t>
        </is>
      </c>
      <c r="D4" s="2" t="inlineStr">
        <is>
          <t>Availability, slots, guest booking, intake and policies</t>
        </is>
      </c>
      <c r="E4" s="2" t="inlineStr">
        <is>
          <t>Yes</t>
        </is>
      </c>
      <c r="F4" s="2" t="inlineStr">
        <is>
          <t>Free</t>
        </is>
      </c>
      <c r="G4" s="2" t="inlineStr">
        <is>
          <t>Very High</t>
        </is>
      </c>
      <c r="H4" s="2" t="inlineStr">
        <is>
          <t>Service businesses</t>
        </is>
      </c>
      <c r="I4" s="2" t="inlineStr">
        <is>
          <t>No booking/manual booking</t>
        </is>
      </c>
      <c r="J4" s="2" t="inlineStr">
        <is>
          <t>Let customers book without the back-and-forth.</t>
        </is>
      </c>
    </row>
    <row r="5">
      <c r="A5" s="2" t="inlineStr">
        <is>
          <t>F004</t>
        </is>
      </c>
      <c r="B5" s="2" t="inlineStr">
        <is>
          <t>Reviews</t>
        </is>
      </c>
      <c r="C5" s="2" t="inlineStr">
        <is>
          <t>Reviews</t>
        </is>
      </c>
      <c r="D5" s="2" t="inlineStr">
        <is>
          <t>Merchant-moderated customer reviews</t>
        </is>
      </c>
      <c r="E5" s="2" t="inlineStr">
        <is>
          <t>Yes</t>
        </is>
      </c>
      <c r="F5" s="2" t="inlineStr">
        <is>
          <t>Free</t>
        </is>
      </c>
      <c r="G5" s="2" t="inlineStr">
        <is>
          <t>Medium</t>
        </is>
      </c>
      <c r="H5" s="2" t="inlineStr">
        <is>
          <t>Service businesses</t>
        </is>
      </c>
      <c r="I5" s="2" t="inlineStr">
        <is>
          <t>No social proof</t>
        </is>
      </c>
      <c r="J5" s="2" t="inlineStr">
        <is>
          <t>Showcase customer feedback directly on your storefront.</t>
        </is>
      </c>
    </row>
    <row r="6">
      <c r="A6" s="2" t="inlineStr">
        <is>
          <t>F005</t>
        </is>
      </c>
      <c r="B6" s="2" t="inlineStr">
        <is>
          <t>CRM</t>
        </is>
      </c>
      <c r="C6" s="2" t="inlineStr">
        <is>
          <t>Messages</t>
        </is>
      </c>
      <c r="D6" s="2" t="inlineStr">
        <is>
          <t>Customer inquiries and messages</t>
        </is>
      </c>
      <c r="E6" s="2" t="inlineStr">
        <is>
          <t>Yes</t>
        </is>
      </c>
      <c r="F6" s="2" t="inlineStr">
        <is>
          <t>Free</t>
        </is>
      </c>
      <c r="G6" s="2" t="inlineStr">
        <is>
          <t>High</t>
        </is>
      </c>
      <c r="H6" s="2" t="inlineStr">
        <is>
          <t>All</t>
        </is>
      </c>
      <c r="I6" s="2" t="inlineStr">
        <is>
          <t>Scattered inquiries</t>
        </is>
      </c>
      <c r="J6" s="2" t="inlineStr">
        <is>
          <t>Keep customer conversations organized.</t>
        </is>
      </c>
    </row>
    <row r="7">
      <c r="A7" s="2" t="inlineStr">
        <is>
          <t>F006</t>
        </is>
      </c>
      <c r="B7" s="2" t="inlineStr">
        <is>
          <t>Marketing</t>
        </is>
      </c>
      <c r="C7" s="2" t="inlineStr">
        <is>
          <t>Emails</t>
        </is>
      </c>
      <c r="D7" s="2" t="inlineStr">
        <is>
          <t>Merchant email tools</t>
        </is>
      </c>
      <c r="E7" s="2" t="inlineStr">
        <is>
          <t>Yes</t>
        </is>
      </c>
      <c r="F7" s="2" t="inlineStr">
        <is>
          <t>Free</t>
        </is>
      </c>
      <c r="G7" s="2" t="inlineStr">
        <is>
          <t>High</t>
        </is>
      </c>
      <c r="H7" s="2" t="inlineStr">
        <is>
          <t>All</t>
        </is>
      </c>
      <c r="I7" s="2" t="inlineStr">
        <is>
          <t>Manual communication</t>
        </is>
      </c>
      <c r="J7" s="2" t="inlineStr">
        <is>
          <t>Centralize customer communication.</t>
        </is>
      </c>
    </row>
    <row r="8">
      <c r="A8" s="2" t="inlineStr">
        <is>
          <t>F007</t>
        </is>
      </c>
      <c r="B8" s="2" t="inlineStr">
        <is>
          <t>Marketing</t>
        </is>
      </c>
      <c r="C8" s="2" t="inlineStr">
        <is>
          <t>Newsletter</t>
        </is>
      </c>
      <c r="D8" s="2" t="inlineStr">
        <is>
          <t>Newsletter signup/content</t>
        </is>
      </c>
      <c r="E8" s="2" t="inlineStr">
        <is>
          <t>Yes</t>
        </is>
      </c>
      <c r="F8" s="2" t="inlineStr">
        <is>
          <t>Free</t>
        </is>
      </c>
      <c r="G8" s="2" t="inlineStr">
        <is>
          <t>Medium</t>
        </is>
      </c>
      <c r="H8" s="2" t="inlineStr">
        <is>
          <t>All</t>
        </is>
      </c>
      <c r="I8" s="2" t="inlineStr">
        <is>
          <t>No lead capture</t>
        </is>
      </c>
      <c r="J8" s="2" t="inlineStr">
        <is>
          <t>Turn visitors into an owned audience.</t>
        </is>
      </c>
    </row>
    <row r="9">
      <c r="A9" s="2" t="inlineStr">
        <is>
          <t>F008</t>
        </is>
      </c>
      <c r="B9" s="2" t="inlineStr">
        <is>
          <t>Content</t>
        </is>
      </c>
      <c r="C9" s="2" t="inlineStr">
        <is>
          <t>Blog</t>
        </is>
      </c>
      <c r="D9" s="2" t="inlineStr">
        <is>
          <t>Merchant blog</t>
        </is>
      </c>
      <c r="E9" s="2" t="inlineStr">
        <is>
          <t>Yes</t>
        </is>
      </c>
      <c r="F9" s="2" t="inlineStr">
        <is>
          <t>Free</t>
        </is>
      </c>
      <c r="G9" s="2" t="inlineStr">
        <is>
          <t>Medium</t>
        </is>
      </c>
      <c r="H9" s="2" t="inlineStr">
        <is>
          <t>All</t>
        </is>
      </c>
      <c r="I9" s="2" t="inlineStr">
        <is>
          <t>Weak SEO/content</t>
        </is>
      </c>
      <c r="J9" s="2" t="inlineStr">
        <is>
          <t>Publish useful content and build authority.</t>
        </is>
      </c>
    </row>
    <row r="10">
      <c r="A10" s="2" t="inlineStr">
        <is>
          <t>F009</t>
        </is>
      </c>
      <c r="B10" s="2" t="inlineStr">
        <is>
          <t>Website</t>
        </is>
      </c>
      <c r="C10" s="2" t="inlineStr">
        <is>
          <t>Themes</t>
        </is>
      </c>
      <c r="D10" s="2" t="inlineStr">
        <is>
          <t>Theme system/customization</t>
        </is>
      </c>
      <c r="E10" s="2" t="inlineStr">
        <is>
          <t>Yes</t>
        </is>
      </c>
      <c r="F10" s="2" t="inlineStr">
        <is>
          <t>Starter</t>
        </is>
      </c>
      <c r="G10" s="2" t="inlineStr">
        <is>
          <t>High</t>
        </is>
      </c>
      <c r="H10" s="2" t="inlineStr">
        <is>
          <t>All</t>
        </is>
      </c>
      <c r="I10" s="2" t="inlineStr">
        <is>
          <t>Weak branding</t>
        </is>
      </c>
      <c r="J10" s="2" t="inlineStr">
        <is>
          <t>Make the storefront look like your business.</t>
        </is>
      </c>
    </row>
    <row r="11">
      <c r="A11" s="2" t="inlineStr">
        <is>
          <t>F010</t>
        </is>
      </c>
      <c r="B11" s="2" t="inlineStr">
        <is>
          <t>Operations</t>
        </is>
      </c>
      <c r="C11" s="2" t="inlineStr">
        <is>
          <t>Admin</t>
        </is>
      </c>
      <c r="D11" s="2" t="inlineStr">
        <is>
          <t>Merchant admin and operational controls</t>
        </is>
      </c>
      <c r="E11" s="2" t="inlineStr">
        <is>
          <t>Yes</t>
        </is>
      </c>
      <c r="F11" s="2" t="inlineStr">
        <is>
          <t>Free</t>
        </is>
      </c>
      <c r="G11" s="2" t="inlineStr">
        <is>
          <t>Very High</t>
        </is>
      </c>
      <c r="H11" s="2" t="inlineStr">
        <is>
          <t>All</t>
        </is>
      </c>
      <c r="I11" s="2" t="inlineStr">
        <is>
          <t>Too many tools</t>
        </is>
      </c>
      <c r="J11" s="2" t="inlineStr">
        <is>
          <t>Run the business from one admin.</t>
        </is>
      </c>
    </row>
    <row r="12">
      <c r="A12" s="2" t="inlineStr">
        <is>
          <t>F011</t>
        </is>
      </c>
      <c r="B12" s="2" t="inlineStr">
        <is>
          <t>Operations</t>
        </is>
      </c>
      <c r="C12" s="2" t="inlineStr">
        <is>
          <t>Automations</t>
        </is>
      </c>
      <c r="D12" s="2" t="inlineStr">
        <is>
          <t>Active automations subject to tier limits</t>
        </is>
      </c>
      <c r="E12" s="2" t="inlineStr">
        <is>
          <t>Yes</t>
        </is>
      </c>
      <c r="F12" s="2" t="inlineStr">
        <is>
          <t>Starter</t>
        </is>
      </c>
      <c r="G12" s="2" t="inlineStr">
        <is>
          <t>Very High</t>
        </is>
      </c>
      <c r="H12" s="2" t="inlineStr">
        <is>
          <t>Growing service businesses</t>
        </is>
      </c>
      <c r="I12" s="2" t="inlineStr">
        <is>
          <t>Manual follow-up</t>
        </is>
      </c>
      <c r="J12" s="2" t="inlineStr">
        <is>
          <t>Automate repeatable work as you grow.</t>
        </is>
      </c>
    </row>
    <row r="13">
      <c r="A13" s="2" t="inlineStr">
        <is>
          <t>F012</t>
        </is>
      </c>
      <c r="B13" s="2" t="inlineStr">
        <is>
          <t>Analytics</t>
        </is>
      </c>
      <c r="C13" s="2" t="inlineStr">
        <is>
          <t>Advanced Reporting</t>
        </is>
      </c>
      <c r="D13" s="2" t="inlineStr">
        <is>
          <t>Advanced reporting on Grow+</t>
        </is>
      </c>
      <c r="E13" s="2" t="inlineStr">
        <is>
          <t>Yes</t>
        </is>
      </c>
      <c r="F13" s="2" t="inlineStr">
        <is>
          <t>Grow</t>
        </is>
      </c>
      <c r="G13" s="2" t="inlineStr">
        <is>
          <t>High</t>
        </is>
      </c>
      <c r="H13" s="2" t="inlineStr">
        <is>
          <t>Growing businesses</t>
        </is>
      </c>
      <c r="I13" s="2" t="inlineStr">
        <is>
          <t>No visibility</t>
        </is>
      </c>
      <c r="J13" s="2" t="inlineStr">
        <is>
          <t>See what is happening across the business.</t>
        </is>
      </c>
    </row>
    <row r="14">
      <c r="A14" s="2" t="inlineStr">
        <is>
          <t>F013</t>
        </is>
      </c>
      <c r="B14" s="2" t="inlineStr">
        <is>
          <t>Operations</t>
        </is>
      </c>
      <c r="C14" s="2" t="inlineStr">
        <is>
          <t>Multi-location Inventory</t>
        </is>
      </c>
      <c r="D14" s="2" t="inlineStr">
        <is>
          <t>Inventory across multiple locations</t>
        </is>
      </c>
      <c r="E14" s="2" t="inlineStr">
        <is>
          <t>Yes</t>
        </is>
      </c>
      <c r="F14" s="2" t="inlineStr">
        <is>
          <t>Grow</t>
        </is>
      </c>
      <c r="G14" s="2" t="inlineStr">
        <is>
          <t>Very High</t>
        </is>
      </c>
      <c r="H14" s="2" t="inlineStr">
        <is>
          <t>Multi-location</t>
        </is>
      </c>
      <c r="I14" s="2" t="inlineStr">
        <is>
          <t>Disconnected inventory</t>
        </is>
      </c>
      <c r="J14" s="2" t="inlineStr">
        <is>
          <t>Manage multiple locations from one platform.</t>
        </is>
      </c>
    </row>
    <row r="15">
      <c r="A15" s="2" t="inlineStr">
        <is>
          <t>F014</t>
        </is>
      </c>
      <c r="B15" s="2" t="inlineStr">
        <is>
          <t>Platform</t>
        </is>
      </c>
      <c r="C15" s="2" t="inlineStr">
        <is>
          <t>Custom Domain</t>
        </is>
      </c>
      <c r="D15" s="2" t="inlineStr">
        <is>
          <t>Custom merchant domain</t>
        </is>
      </c>
      <c r="E15" s="2" t="inlineStr">
        <is>
          <t>Yes</t>
        </is>
      </c>
      <c r="F15" s="2" t="inlineStr">
        <is>
          <t>Starter</t>
        </is>
      </c>
      <c r="G15" s="2" t="inlineStr">
        <is>
          <t>Very High</t>
        </is>
      </c>
      <c r="H15" s="2" t="inlineStr">
        <is>
          <t>All</t>
        </is>
      </c>
      <c r="I15" s="2" t="inlineStr">
        <is>
          <t>Unprofessional URL</t>
        </is>
      </c>
      <c r="J15" s="2" t="inlineStr">
        <is>
          <t>Use your own domain.</t>
        </is>
      </c>
    </row>
    <row r="16">
      <c r="A16" s="2" t="inlineStr">
        <is>
          <t>F015</t>
        </is>
      </c>
      <c r="B16" s="2" t="inlineStr">
        <is>
          <t>Platform</t>
        </is>
      </c>
      <c r="C16" s="2" t="inlineStr">
        <is>
          <t>Removable Branding</t>
        </is>
      </c>
      <c r="D16" s="2" t="inlineStr">
        <is>
          <t>Remove platform branding</t>
        </is>
      </c>
      <c r="E16" s="2" t="inlineStr">
        <is>
          <t>Yes</t>
        </is>
      </c>
      <c r="F16" s="2" t="inlineStr">
        <is>
          <t>Grow</t>
        </is>
      </c>
      <c r="G16" s="2" t="inlineStr">
        <is>
          <t>Medium</t>
        </is>
      </c>
      <c r="H16" s="2" t="inlineStr">
        <is>
          <t>Brand-focused businesses</t>
        </is>
      </c>
      <c r="I16" s="2" t="inlineStr">
        <is>
          <t>Third-party branding</t>
        </is>
      </c>
      <c r="J16" s="2" t="inlineStr">
        <is>
          <t>Keep the experience fully yours.</t>
        </is>
      </c>
    </row>
    <row r="17">
      <c r="A17" s="2" t="inlineStr">
        <is>
          <t>F016</t>
        </is>
      </c>
      <c r="B17" s="2" t="inlineStr">
        <is>
          <t>Platform</t>
        </is>
      </c>
      <c r="C17" s="2" t="inlineStr">
        <is>
          <t>API</t>
        </is>
      </c>
      <c r="D17" s="2" t="inlineStr">
        <is>
          <t>API access subject to tier limits</t>
        </is>
      </c>
      <c r="E17" s="2" t="inlineStr">
        <is>
          <t>Yes</t>
        </is>
      </c>
      <c r="F17" s="2" t="inlineStr">
        <is>
          <t>Starter</t>
        </is>
      </c>
      <c r="G17" s="2" t="inlineStr">
        <is>
          <t>High</t>
        </is>
      </c>
      <c r="H17" s="2" t="inlineStr">
        <is>
          <t>Technical/growing</t>
        </is>
      </c>
      <c r="I17" s="2" t="inlineStr">
        <is>
          <t>Integration limitations</t>
        </is>
      </c>
      <c r="J17" s="2" t="inlineStr">
        <is>
          <t>Connect Peak to the rest of your stack.</t>
        </is>
      </c>
    </row>
    <row r="18">
      <c r="A18" s="2" t="inlineStr">
        <is>
          <t>F017</t>
        </is>
      </c>
      <c r="B18" s="2" t="inlineStr">
        <is>
          <t>Enterprise</t>
        </is>
      </c>
      <c r="C18" s="2" t="inlineStr">
        <is>
          <t>SSO</t>
        </is>
      </c>
      <c r="D18" s="2" t="inlineStr">
        <is>
          <t>SAML/OIDC SSO</t>
        </is>
      </c>
      <c r="E18" s="2" t="inlineStr">
        <is>
          <t>Yes</t>
        </is>
      </c>
      <c r="F18" s="2" t="inlineStr">
        <is>
          <t>Enterprise</t>
        </is>
      </c>
      <c r="G18" s="2" t="inlineStr">
        <is>
          <t>High</t>
        </is>
      </c>
      <c r="H18" s="2" t="inlineStr">
        <is>
          <t>Larger organizations</t>
        </is>
      </c>
      <c r="I18" s="2" t="inlineStr">
        <is>
          <t>Security/procurement</t>
        </is>
      </c>
      <c r="J18" s="2" t="inlineStr">
        <is>
          <t>Enterprise identity and procurement support.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1:$J$18"/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U6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19" min="1" max="21"/>
    <col width="8.710000000000001" customWidth="1" style="19" min="22" max="26"/>
  </cols>
  <sheetData>
    <row r="1" ht="30" customHeight="1" s="19">
      <c r="A1" s="17" t="inlineStr">
        <is>
          <t>Plan</t>
        </is>
      </c>
      <c r="B1" s="17" t="inlineStr">
        <is>
          <t>Monthly CAD</t>
        </is>
      </c>
      <c r="C1" s="17" t="inlineStr">
        <is>
          <t>Storage</t>
        </is>
      </c>
      <c r="D1" s="17" t="inlineStr">
        <is>
          <t>Team Seats</t>
        </is>
      </c>
      <c r="E1" s="17" t="inlineStr">
        <is>
          <t>Products</t>
        </is>
      </c>
      <c r="F1" s="17" t="inlineStr">
        <is>
          <t>Customer Profiles</t>
        </is>
      </c>
      <c r="G1" s="17" t="inlineStr">
        <is>
          <t>Sales Channels</t>
        </is>
      </c>
      <c r="H1" s="17" t="inlineStr">
        <is>
          <t>Locations</t>
        </is>
      </c>
      <c r="I1" s="17" t="inlineStr">
        <is>
          <t>Multi-location Inventory</t>
        </is>
      </c>
      <c r="J1" s="17" t="inlineStr">
        <is>
          <t>Active Automations</t>
        </is>
      </c>
      <c r="K1" s="17" t="inlineStr">
        <is>
          <t>Advanced Reporting</t>
        </is>
      </c>
      <c r="L1" s="17" t="inlineStr">
        <is>
          <t>Exports / Month</t>
        </is>
      </c>
      <c r="M1" s="17" t="inlineStr">
        <is>
          <t>Audit Retention</t>
        </is>
      </c>
      <c r="N1" s="17" t="inlineStr">
        <is>
          <t>Custom Themes</t>
        </is>
      </c>
      <c r="O1" s="17" t="inlineStr">
        <is>
          <t>Custom Domain</t>
        </is>
      </c>
      <c r="P1" s="17" t="inlineStr">
        <is>
          <t>Remove Branding</t>
        </is>
      </c>
      <c r="Q1" s="17" t="inlineStr">
        <is>
          <t>API RPM</t>
        </is>
      </c>
      <c r="R1" s="17" t="inlineStr">
        <is>
          <t>Support</t>
        </is>
      </c>
      <c r="S1" s="17" t="inlineStr">
        <is>
          <t>Priority Queue</t>
        </is>
      </c>
      <c r="T1" s="17" t="inlineStr">
        <is>
          <t>SSO</t>
        </is>
      </c>
      <c r="U1" s="17" t="inlineStr">
        <is>
          <t>Positioning</t>
        </is>
      </c>
    </row>
    <row r="2">
      <c r="A2" s="2" t="inlineStr">
        <is>
          <t>Free</t>
        </is>
      </c>
      <c r="B2" s="2" t="n">
        <v>0</v>
      </c>
      <c r="C2" s="2" t="inlineStr">
        <is>
          <t>5 MB</t>
        </is>
      </c>
      <c r="D2" s="2" t="n">
        <v>1</v>
      </c>
      <c r="E2" s="2" t="n">
        <v>25</v>
      </c>
      <c r="F2" s="2" t="n">
        <v>100</v>
      </c>
      <c r="G2" s="2" t="n">
        <v>1</v>
      </c>
      <c r="H2" s="2" t="n">
        <v>1</v>
      </c>
      <c r="I2" s="2" t="inlineStr">
        <is>
          <t>No</t>
        </is>
      </c>
      <c r="J2" s="2" t="n">
        <v>0</v>
      </c>
      <c r="K2" s="2" t="inlineStr">
        <is>
          <t>No</t>
        </is>
      </c>
      <c r="L2" s="2" t="inlineStr">
        <is>
          <t>1</t>
        </is>
      </c>
      <c r="M2" s="2" t="inlineStr">
        <is>
          <t>30 days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No</t>
        </is>
      </c>
      <c r="Q2" s="2" t="n">
        <v>60</v>
      </c>
      <c r="R2" s="2" t="inlineStr">
        <is>
          <t>Community</t>
        </is>
      </c>
      <c r="S2" s="2" t="inlineStr">
        <is>
          <t>No</t>
        </is>
      </c>
      <c r="T2" s="2" t="inlineStr">
        <is>
          <t>No</t>
        </is>
      </c>
      <c r="U2" s="2" t="inlineStr">
        <is>
          <t>Entry</t>
        </is>
      </c>
    </row>
    <row r="3">
      <c r="A3" s="2" t="inlineStr">
        <is>
          <t>Starter</t>
        </is>
      </c>
      <c r="B3" s="2" t="n">
        <v>30</v>
      </c>
      <c r="C3" s="2" t="inlineStr">
        <is>
          <t>1 GB</t>
        </is>
      </c>
      <c r="D3" s="2" t="n">
        <v>3</v>
      </c>
      <c r="E3" s="2" t="n">
        <v>500</v>
      </c>
      <c r="F3" s="2" t="n">
        <v>5000</v>
      </c>
      <c r="G3" s="2" t="n">
        <v>2</v>
      </c>
      <c r="H3" s="2" t="n">
        <v>1</v>
      </c>
      <c r="I3" s="2" t="inlineStr">
        <is>
          <t>No</t>
        </is>
      </c>
      <c r="J3" s="2" t="n">
        <v>5</v>
      </c>
      <c r="K3" s="2" t="inlineStr">
        <is>
          <t>No</t>
        </is>
      </c>
      <c r="L3" s="2" t="inlineStr">
        <is>
          <t>4</t>
        </is>
      </c>
      <c r="M3" s="2" t="inlineStr">
        <is>
          <t>90 days</t>
        </is>
      </c>
      <c r="N3" s="2" t="inlineStr">
        <is>
          <t>Yes</t>
        </is>
      </c>
      <c r="O3" s="2" t="inlineStr">
        <is>
          <t>Yes</t>
        </is>
      </c>
      <c r="P3" s="2" t="inlineStr">
        <is>
          <t>No</t>
        </is>
      </c>
      <c r="Q3" s="2" t="n">
        <v>120</v>
      </c>
      <c r="R3" s="2" t="inlineStr">
        <is>
          <t>Email</t>
        </is>
      </c>
      <c r="S3" s="2" t="inlineStr">
        <is>
          <t>No</t>
        </is>
      </c>
      <c r="T3" s="2" t="inlineStr">
        <is>
          <t>No</t>
        </is>
      </c>
      <c r="U3" s="2" t="inlineStr">
        <is>
          <t>Small business</t>
        </is>
      </c>
    </row>
    <row r="4">
      <c r="A4" s="2" t="inlineStr">
        <is>
          <t>Grow</t>
        </is>
      </c>
      <c r="B4" s="2" t="n">
        <v>46</v>
      </c>
      <c r="C4" s="2" t="inlineStr">
        <is>
          <t>10 GB</t>
        </is>
      </c>
      <c r="D4" s="2" t="n">
        <v>10</v>
      </c>
      <c r="E4" s="2" t="n">
        <v>5000</v>
      </c>
      <c r="F4" s="2" t="n">
        <v>50000</v>
      </c>
      <c r="G4" s="2" t="n">
        <v>5</v>
      </c>
      <c r="H4" s="2" t="n">
        <v>3</v>
      </c>
      <c r="I4" s="2" t="inlineStr">
        <is>
          <t>Yes</t>
        </is>
      </c>
      <c r="J4" s="2" t="n">
        <v>25</v>
      </c>
      <c r="K4" s="2" t="inlineStr">
        <is>
          <t>Yes</t>
        </is>
      </c>
      <c r="L4" s="2" t="inlineStr">
        <is>
          <t>Unlimited</t>
        </is>
      </c>
      <c r="M4" s="2" t="inlineStr">
        <is>
          <t>365 days</t>
        </is>
      </c>
      <c r="N4" s="2" t="inlineStr">
        <is>
          <t>Yes</t>
        </is>
      </c>
      <c r="O4" s="2" t="inlineStr">
        <is>
          <t>Yes</t>
        </is>
      </c>
      <c r="P4" s="2" t="inlineStr">
        <is>
          <t>Yes</t>
        </is>
      </c>
      <c r="Q4" s="2" t="n">
        <v>300</v>
      </c>
      <c r="R4" s="2" t="inlineStr">
        <is>
          <t>Email</t>
        </is>
      </c>
      <c r="S4" s="2" t="inlineStr">
        <is>
          <t>No</t>
        </is>
      </c>
      <c r="T4" s="2" t="inlineStr">
        <is>
          <t>No</t>
        </is>
      </c>
      <c r="U4" s="2" t="inlineStr">
        <is>
          <t>Growing business</t>
        </is>
      </c>
    </row>
    <row r="5">
      <c r="A5" s="2" t="inlineStr">
        <is>
          <t>Pro</t>
        </is>
      </c>
      <c r="B5" s="2" t="n">
        <v>90</v>
      </c>
      <c r="C5" s="2" t="inlineStr">
        <is>
          <t>100 GB</t>
        </is>
      </c>
      <c r="D5" s="2" t="inlineStr">
        <is>
          <t>Unlimited</t>
        </is>
      </c>
      <c r="E5" s="2" t="inlineStr">
        <is>
          <t>Unlimited</t>
        </is>
      </c>
      <c r="F5" s="2" t="inlineStr">
        <is>
          <t>Unlimited</t>
        </is>
      </c>
      <c r="G5" s="2" t="inlineStr">
        <is>
          <t>Unlimited</t>
        </is>
      </c>
      <c r="H5" s="2" t="n">
        <v>10</v>
      </c>
      <c r="I5" s="2" t="inlineStr">
        <is>
          <t>Yes</t>
        </is>
      </c>
      <c r="J5" s="2" t="inlineStr">
        <is>
          <t>Unlimited</t>
        </is>
      </c>
      <c r="K5" s="2" t="inlineStr">
        <is>
          <t>Yes</t>
        </is>
      </c>
      <c r="L5" s="2" t="inlineStr">
        <is>
          <t>Unlimited</t>
        </is>
      </c>
      <c r="M5" s="2" t="inlineStr">
        <is>
          <t>730 days</t>
        </is>
      </c>
      <c r="N5" s="2" t="inlineStr">
        <is>
          <t>Yes</t>
        </is>
      </c>
      <c r="O5" s="2" t="inlineStr">
        <is>
          <t>Yes</t>
        </is>
      </c>
      <c r="P5" s="2" t="inlineStr">
        <is>
          <t>Yes</t>
        </is>
      </c>
      <c r="Q5" s="2" t="n">
        <v>600</v>
      </c>
      <c r="R5" s="2" t="inlineStr">
        <is>
          <t>Priority</t>
        </is>
      </c>
      <c r="S5" s="2" t="inlineStr">
        <is>
          <t>Yes</t>
        </is>
      </c>
      <c r="T5" s="2" t="inlineStr">
        <is>
          <t>No</t>
        </is>
      </c>
      <c r="U5" s="2" t="inlineStr">
        <is>
          <t>Advanced</t>
        </is>
      </c>
    </row>
    <row r="6">
      <c r="A6" s="2" t="inlineStr">
        <is>
          <t>Enterprise</t>
        </is>
      </c>
      <c r="B6" s="2" t="inlineStr">
        <is>
          <t>Custom</t>
        </is>
      </c>
      <c r="C6" s="2" t="inlineStr">
        <is>
          <t>1 TB</t>
        </is>
      </c>
      <c r="D6" s="2" t="inlineStr">
        <is>
          <t>Unlimited</t>
        </is>
      </c>
      <c r="E6" s="2" t="inlineStr">
        <is>
          <t>Unlimited</t>
        </is>
      </c>
      <c r="F6" s="2" t="inlineStr">
        <is>
          <t>Unlimited</t>
        </is>
      </c>
      <c r="G6" s="2" t="inlineStr">
        <is>
          <t>Unlimited</t>
        </is>
      </c>
      <c r="H6" s="2" t="inlineStr">
        <is>
          <t>Unlimited</t>
        </is>
      </c>
      <c r="I6" s="2" t="inlineStr">
        <is>
          <t>Yes</t>
        </is>
      </c>
      <c r="J6" s="2" t="inlineStr">
        <is>
          <t>Unlimited</t>
        </is>
      </c>
      <c r="K6" s="2" t="inlineStr">
        <is>
          <t>Yes</t>
        </is>
      </c>
      <c r="L6" s="2" t="inlineStr">
        <is>
          <t>Unlimited</t>
        </is>
      </c>
      <c r="M6" s="2" t="inlineStr">
        <is>
          <t>2555 days</t>
        </is>
      </c>
      <c r="N6" s="2" t="inlineStr">
        <is>
          <t>Yes</t>
        </is>
      </c>
      <c r="O6" s="2" t="inlineStr">
        <is>
          <t>Yes</t>
        </is>
      </c>
      <c r="P6" s="2" t="inlineStr">
        <is>
          <t>Yes</t>
        </is>
      </c>
      <c r="Q6" s="2" t="inlineStr">
        <is>
          <t>Unlimited</t>
        </is>
      </c>
      <c r="R6" s="2" t="inlineStr">
        <is>
          <t>Dedicated</t>
        </is>
      </c>
      <c r="S6" s="2" t="inlineStr">
        <is>
          <t>Yes</t>
        </is>
      </c>
      <c r="T6" s="2" t="inlineStr">
        <is>
          <t>Yes</t>
        </is>
      </c>
      <c r="U6" s="2" t="inlineStr">
        <is>
          <t>Enterprise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1:$U$6"/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" customWidth="1" style="19" min="1" max="8"/>
    <col width="8.710000000000001" customWidth="1" style="19" min="9" max="26"/>
  </cols>
  <sheetData>
    <row r="1" ht="30" customHeight="1" s="19">
      <c r="A1" s="17" t="inlineStr">
        <is>
          <t>Industry</t>
        </is>
      </c>
      <c r="B1" s="17" t="inlineStr">
        <is>
          <t>Sub-Industry</t>
        </is>
      </c>
      <c r="C1" s="17" t="inlineStr">
        <is>
          <t>Priority</t>
        </is>
      </c>
      <c r="D1" s="17" t="inlineStr">
        <is>
          <t>Peak Fit</t>
        </is>
      </c>
      <c r="E1" s="17" t="inlineStr">
        <is>
          <t>Typical Workflow</t>
        </is>
      </c>
      <c r="F1" s="17" t="inlineStr">
        <is>
          <t>Typical Pain Points</t>
        </is>
      </c>
      <c r="G1" s="17" t="inlineStr">
        <is>
          <t>Features To Emphasize</t>
        </is>
      </c>
      <c r="H1" s="17" t="inlineStr">
        <is>
          <t>Notes</t>
        </is>
      </c>
    </row>
    <row r="2">
      <c r="A2" s="2" t="inlineStr">
        <is>
          <t>Home Services</t>
        </is>
      </c>
      <c r="B2" s="2" t="inlineStr">
        <is>
          <t>Landscaping</t>
        </is>
      </c>
      <c r="C2" s="2" t="inlineStr">
        <is>
          <t>High</t>
        </is>
      </c>
      <c r="D2" s="2" t="n">
        <v>95</v>
      </c>
      <c r="E2" s="2" t="inlineStr">
        <is>
          <t>Lead → Quote → Schedule → Service → Invoice</t>
        </is>
      </c>
      <c r="F2" s="2" t="inlineStr">
        <is>
          <t>Phone scheduling; manual follow-up; weak website</t>
        </is>
      </c>
      <c r="G2" s="2" t="inlineStr">
        <is>
          <t>Storefront; Scheduling; Messages; Emails; Automations</t>
        </is>
      </c>
      <c r="H2" s="2" t="inlineStr">
        <is>
          <t>Strong cold-call target</t>
        </is>
      </c>
    </row>
    <row r="3">
      <c r="A3" s="2" t="inlineStr">
        <is>
          <t>Home Services</t>
        </is>
      </c>
      <c r="B3" s="2" t="inlineStr">
        <is>
          <t>Snow Removal</t>
        </is>
      </c>
      <c r="C3" s="2" t="inlineStr">
        <is>
          <t>High</t>
        </is>
      </c>
      <c r="D3" s="2" t="n">
        <v>93</v>
      </c>
      <c r="E3" s="2" t="inlineStr">
        <is>
          <t>Lead → Quote → Schedule → Service → Invoice</t>
        </is>
      </c>
      <c r="F3" s="2" t="inlineStr">
        <is>
          <t>Seasonal demand; scheduling; repeat customers</t>
        </is>
      </c>
      <c r="G3" s="2" t="inlineStr">
        <is>
          <t>Storefront; Scheduling; Messages; Automations</t>
        </is>
      </c>
      <c r="H3" s="2" t="inlineStr">
        <is>
          <t>Seasonality matters</t>
        </is>
      </c>
    </row>
    <row r="4">
      <c r="A4" s="2" t="inlineStr">
        <is>
          <t>Transportation</t>
        </is>
      </c>
      <c r="B4" s="2" t="inlineStr">
        <is>
          <t>Towing</t>
        </is>
      </c>
      <c r="C4" s="2" t="inlineStr">
        <is>
          <t>High</t>
        </is>
      </c>
      <c r="D4" s="2" t="n">
        <v>90</v>
      </c>
      <c r="E4" s="2" t="inlineStr">
        <is>
          <t>Call → Dispatch → Service → Invoice</t>
        </is>
      </c>
      <c r="F4" s="2" t="inlineStr">
        <is>
          <t>Phone-heavy intake; customer records; invoicing</t>
        </is>
      </c>
      <c r="G4" s="2" t="inlineStr">
        <is>
          <t>Storefront; Messages; Admin; Scheduling</t>
        </is>
      </c>
      <c r="H4" s="2" t="inlineStr">
        <is>
          <t>Urgent service</t>
        </is>
      </c>
    </row>
    <row r="5">
      <c r="A5" s="2" t="inlineStr">
        <is>
          <t>Transportation</t>
        </is>
      </c>
      <c r="B5" s="2" t="inlineStr">
        <is>
          <t>Trucking / Freight</t>
        </is>
      </c>
      <c r="C5" s="2" t="inlineStr">
        <is>
          <t>High</t>
        </is>
      </c>
      <c r="D5" s="2" t="n">
        <v>88</v>
      </c>
      <c r="E5" s="2" t="inlineStr">
        <is>
          <t>Lead → Quote → Dispatch → Invoice</t>
        </is>
      </c>
      <c r="F5" s="2" t="inlineStr">
        <is>
          <t>Multiple systems; customer records; B2B communication</t>
        </is>
      </c>
      <c r="G5" s="2" t="inlineStr">
        <is>
          <t>Messages; Admin; Analytics; API</t>
        </is>
      </c>
      <c r="H5" s="2" t="inlineStr">
        <is>
          <t>May need integrations</t>
        </is>
      </c>
    </row>
    <row r="6">
      <c r="A6" s="2" t="inlineStr">
        <is>
          <t>Home Services</t>
        </is>
      </c>
      <c r="B6" s="2" t="inlineStr">
        <is>
          <t>Junk Removal</t>
        </is>
      </c>
      <c r="C6" s="2" t="inlineStr">
        <is>
          <t>High</t>
        </is>
      </c>
      <c r="D6" s="2" t="n">
        <v>92</v>
      </c>
      <c r="E6" s="2" t="inlineStr">
        <is>
          <t>Lead → Quote → Schedule → Service → Invoice</t>
        </is>
      </c>
      <c r="F6" s="2" t="inlineStr">
        <is>
          <t>Manual estimates; phone booking</t>
        </is>
      </c>
      <c r="G6" s="2" t="inlineStr">
        <is>
          <t>Storefront; Scheduling; Messages; Automations</t>
        </is>
      </c>
      <c r="H6" s="2" t="inlineStr">
        <is>
          <t>Strong fit</t>
        </is>
      </c>
    </row>
    <row r="7">
      <c r="A7" s="2" t="inlineStr">
        <is>
          <t>Home Services</t>
        </is>
      </c>
      <c r="B7" s="2" t="inlineStr">
        <is>
          <t>Pressure Washing</t>
        </is>
      </c>
      <c r="C7" s="2" t="inlineStr">
        <is>
          <t>High</t>
        </is>
      </c>
      <c r="D7" s="2" t="n">
        <v>94</v>
      </c>
      <c r="E7" s="2" t="inlineStr">
        <is>
          <t>Lead → Quote → Schedule → Service → Invoice</t>
        </is>
      </c>
      <c r="F7" s="2" t="inlineStr">
        <is>
          <t>No booking; weak website; manual follow-up</t>
        </is>
      </c>
      <c r="G7" s="2" t="inlineStr">
        <is>
          <t>Storefront; Scheduling; Messages; Reviews</t>
        </is>
      </c>
      <c r="H7" s="2" t="inlineStr">
        <is>
          <t>Visual before/after opportunity</t>
        </is>
      </c>
    </row>
    <row r="8">
      <c r="A8" s="2" t="inlineStr">
        <is>
          <t>Beauty</t>
        </is>
      </c>
      <c r="B8" s="2" t="inlineStr">
        <is>
          <t>Lash / Brow</t>
        </is>
      </c>
      <c r="C8" s="2" t="inlineStr">
        <is>
          <t>High</t>
        </is>
      </c>
      <c r="D8" s="2" t="n">
        <v>96</v>
      </c>
      <c r="E8" s="2" t="inlineStr">
        <is>
          <t>Lead → Book → Intake → Service → Review</t>
        </is>
      </c>
      <c r="F8" s="2" t="inlineStr">
        <is>
          <t>Instagram DMs; no website; manual booking</t>
        </is>
      </c>
      <c r="G8" s="2" t="inlineStr">
        <is>
          <t>Storefront; Scheduling; Reviews; Messages; Emails</t>
        </is>
      </c>
      <c r="H8" s="2" t="inlineStr">
        <is>
          <t>Excellent fit</t>
        </is>
      </c>
    </row>
    <row r="9">
      <c r="A9" s="2" t="inlineStr">
        <is>
          <t>Creative</t>
        </is>
      </c>
      <c r="B9" s="2" t="inlineStr">
        <is>
          <t>Photography</t>
        </is>
      </c>
      <c r="C9" s="2" t="inlineStr">
        <is>
          <t>High</t>
        </is>
      </c>
      <c r="D9" s="2" t="n">
        <v>97</v>
      </c>
      <c r="E9" s="2" t="inlineStr">
        <is>
          <t>Inquiry → Consultation → Booking → Invoice → Delivery</t>
        </is>
      </c>
      <c r="F9" s="2" t="inlineStr">
        <is>
          <t>Scattered tools; deposits; portfolio</t>
        </is>
      </c>
      <c r="G9" s="2" t="inlineStr">
        <is>
          <t>Storefront; Scheduling; Products; Messages</t>
        </is>
      </c>
      <c r="H9" s="2" t="inlineStr">
        <is>
          <t>Excellent demo</t>
        </is>
      </c>
    </row>
    <row r="10">
      <c r="A10" s="2" t="inlineStr">
        <is>
          <t>Events</t>
        </is>
      </c>
      <c r="B10" s="2" t="inlineStr">
        <is>
          <t>Wedding Vendor</t>
        </is>
      </c>
      <c r="C10" s="2" t="inlineStr">
        <is>
          <t>High</t>
        </is>
      </c>
      <c r="D10" s="2" t="n">
        <v>95</v>
      </c>
      <c r="E10" s="2" t="inlineStr">
        <is>
          <t>Inquiry → Consultation → Booking → Deposit → Delivery</t>
        </is>
      </c>
      <c r="F10" s="2" t="inlineStr">
        <is>
          <t>Manual follow-up; scattered systems</t>
        </is>
      </c>
      <c r="G10" s="2" t="inlineStr">
        <is>
          <t>Storefront; Scheduling; Messages; Emails; Admin</t>
        </is>
      </c>
      <c r="H10" s="2" t="inlineStr">
        <is>
          <t>High-value clients</t>
        </is>
      </c>
    </row>
    <row r="11">
      <c r="A11" s="2" t="inlineStr">
        <is>
          <t>Wholesale</t>
        </is>
      </c>
      <c r="B11" s="2" t="inlineStr">
        <is>
          <t>B2B / Wholesale</t>
        </is>
      </c>
      <c r="C11" s="2" t="inlineStr">
        <is>
          <t>High</t>
        </is>
      </c>
      <c r="D11" s="2" t="n">
        <v>90</v>
      </c>
      <c r="E11" s="2" t="inlineStr">
        <is>
          <t>Inquiry → Approval → Quote/PO → Invoice</t>
        </is>
      </c>
      <c r="F11" s="2" t="inlineStr">
        <is>
          <t>Manual wholesale management</t>
        </is>
      </c>
      <c r="G11" s="2" t="inlineStr">
        <is>
          <t>Products; Customer Profiles; Admin; Analytics</t>
        </is>
      </c>
      <c r="H11" s="2" t="inlineStr">
        <is>
          <t>B2B sleeper market</t>
        </is>
      </c>
    </row>
    <row r="12">
      <c r="A12" s="2" t="inlineStr">
        <is>
          <t>Professional Services</t>
        </is>
      </c>
      <c r="B12" s="2" t="inlineStr">
        <is>
          <t>Consultant / Coach</t>
        </is>
      </c>
      <c r="C12" s="2" t="inlineStr">
        <is>
          <t>High</t>
        </is>
      </c>
      <c r="D12" s="2" t="n">
        <v>94</v>
      </c>
      <c r="E12" s="2" t="inlineStr">
        <is>
          <t>Lead → Discovery → Booking → Invoice</t>
        </is>
      </c>
      <c r="F12" s="2" t="inlineStr">
        <is>
          <t>Calendars; forms; scattered client info</t>
        </is>
      </c>
      <c r="G12" s="2" t="inlineStr">
        <is>
          <t>Storefront; Scheduling; Messages; Emails; Admin</t>
        </is>
      </c>
      <c r="H12" s="2" t="inlineStr">
        <is>
          <t>Strong fit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1:$H$12"/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9" min="1" max="5"/>
    <col width="8.710000000000001" customWidth="1" style="19" min="6" max="26"/>
  </cols>
  <sheetData>
    <row r="1" ht="30" customHeight="1" s="19">
      <c r="A1" s="17" t="inlineStr">
        <is>
          <t>Source</t>
        </is>
      </c>
      <c r="B1" s="17" t="inlineStr">
        <is>
          <t>Source Type</t>
        </is>
      </c>
      <c r="C1" s="17" t="inlineStr">
        <is>
          <t>How Obtained</t>
        </is>
      </c>
      <c r="D1" s="17" t="inlineStr">
        <is>
          <t>Expected Quality</t>
        </is>
      </c>
      <c r="E1" s="17" t="inlineStr">
        <is>
          <t>Notes</t>
        </is>
      </c>
    </row>
    <row r="2">
      <c r="A2" s="2" t="inlineStr">
        <is>
          <t>Google Maps</t>
        </is>
      </c>
      <c r="B2" s="2" t="inlineStr">
        <is>
          <t>Organic</t>
        </is>
      </c>
      <c r="C2" s="2" t="inlineStr">
        <is>
          <t>Manual / scraper</t>
        </is>
      </c>
      <c r="D2" s="2" t="inlineStr">
        <is>
          <t>Excellent</t>
        </is>
      </c>
      <c r="E2" s="2" t="inlineStr">
        <is>
          <t>Business, phone, website, reviews</t>
        </is>
      </c>
    </row>
    <row r="3">
      <c r="A3" s="2" t="inlineStr">
        <is>
          <t>Google Search</t>
        </is>
      </c>
      <c r="B3" s="2" t="inlineStr">
        <is>
          <t>Organic</t>
        </is>
      </c>
      <c r="C3" s="2" t="inlineStr">
        <is>
          <t>Search / scraper</t>
        </is>
      </c>
      <c r="D3" s="2" t="inlineStr">
        <is>
          <t>Good</t>
        </is>
      </c>
      <c r="E3" s="2" t="inlineStr">
        <is>
          <t>Niche discovery</t>
        </is>
      </c>
    </row>
    <row r="4">
      <c r="A4" s="2" t="inlineStr">
        <is>
          <t>Instagram</t>
        </is>
      </c>
      <c r="B4" s="2" t="inlineStr">
        <is>
          <t>Social</t>
        </is>
      </c>
      <c r="C4" s="2" t="inlineStr">
        <is>
          <t>Manual / scraper</t>
        </is>
      </c>
      <c r="D4" s="2" t="inlineStr">
        <is>
          <t>Excellent</t>
        </is>
      </c>
      <c r="E4" s="2" t="inlineStr">
        <is>
          <t>Strong for beauty/creative</t>
        </is>
      </c>
    </row>
    <row r="5">
      <c r="A5" s="2" t="inlineStr">
        <is>
          <t>Facebook</t>
        </is>
      </c>
      <c r="B5" s="2" t="inlineStr">
        <is>
          <t>Social</t>
        </is>
      </c>
      <c r="C5" s="2" t="inlineStr">
        <is>
          <t>Manual / scraper</t>
        </is>
      </c>
      <c r="D5" s="2" t="inlineStr">
        <is>
          <t>Good</t>
        </is>
      </c>
      <c r="E5" s="2" t="inlineStr">
        <is>
          <t>Local services</t>
        </is>
      </c>
    </row>
    <row r="6">
      <c r="A6" s="2" t="inlineStr">
        <is>
          <t>LinkedIn</t>
        </is>
      </c>
      <c r="B6" s="2" t="inlineStr">
        <is>
          <t>Social</t>
        </is>
      </c>
      <c r="C6" s="2" t="inlineStr">
        <is>
          <t>Manual / scraper</t>
        </is>
      </c>
      <c r="D6" s="2" t="inlineStr">
        <is>
          <t>Good</t>
        </is>
      </c>
      <c r="E6" s="2" t="inlineStr">
        <is>
          <t>B2B/professional</t>
        </is>
      </c>
    </row>
    <row r="7">
      <c r="A7" s="2" t="inlineStr">
        <is>
          <t>Yelp</t>
        </is>
      </c>
      <c r="B7" s="2" t="inlineStr">
        <is>
          <t>Directory</t>
        </is>
      </c>
      <c r="C7" s="2" t="inlineStr">
        <is>
          <t>Directory</t>
        </is>
      </c>
      <c r="D7" s="2" t="inlineStr">
        <is>
          <t>Fair</t>
        </is>
      </c>
      <c r="E7" s="2" t="inlineStr">
        <is>
          <t>Enrichment</t>
        </is>
      </c>
    </row>
    <row r="8">
      <c r="A8" s="2" t="inlineStr">
        <is>
          <t>Referral</t>
        </is>
      </c>
      <c r="B8" s="2" t="inlineStr">
        <is>
          <t>Referral</t>
        </is>
      </c>
      <c r="C8" s="2" t="inlineStr">
        <is>
          <t>Existing network</t>
        </is>
      </c>
      <c r="D8" s="2" t="inlineStr">
        <is>
          <t>Excellent</t>
        </is>
      </c>
      <c r="E8" s="2" t="inlineStr">
        <is>
          <t>Track referral source</t>
        </is>
      </c>
    </row>
    <row r="9">
      <c r="A9" s="2" t="inlineStr">
        <is>
          <t>Cold List</t>
        </is>
      </c>
      <c r="B9" s="2" t="inlineStr">
        <is>
          <t>Outbound</t>
        </is>
      </c>
      <c r="C9" s="2" t="inlineStr">
        <is>
          <t>Scraper / list</t>
        </is>
      </c>
      <c r="D9" s="2" t="inlineStr">
        <is>
          <t>Unknown</t>
        </is>
      </c>
      <c r="E9" s="2" t="inlineStr">
        <is>
          <t>Validate before calling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1:$E$9"/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9" min="1" max="5"/>
    <col width="8.710000000000001" customWidth="1" style="19" min="6" max="26"/>
  </cols>
  <sheetData>
    <row r="1" ht="30" customHeight="1" s="19">
      <c r="A1" s="17" t="inlineStr">
        <is>
          <t>Objection</t>
        </is>
      </c>
      <c r="B1" s="17" t="inlineStr">
        <is>
          <t>Category</t>
        </is>
      </c>
      <c r="C1" s="17" t="inlineStr">
        <is>
          <t>Suggested Response</t>
        </is>
      </c>
      <c r="D1" s="17" t="inlineStr">
        <is>
          <t>Follow-Up Action</t>
        </is>
      </c>
      <c r="E1" s="17" t="inlineStr">
        <is>
          <t>Notes</t>
        </is>
      </c>
    </row>
    <row r="2">
      <c r="A2" s="2" t="inlineStr">
        <is>
          <t>Too expensive</t>
        </is>
      </c>
      <c r="B2" s="2" t="inlineStr">
        <is>
          <t>Price</t>
        </is>
      </c>
      <c r="C2" s="2" t="inlineStr">
        <is>
          <t>Compare Peak's platform cost to multiple tools.</t>
        </is>
      </c>
      <c r="D2" s="2" t="inlineStr">
        <is>
          <t>Ask current monthly software spend.</t>
        </is>
      </c>
      <c r="E2" s="2" t="inlineStr">
        <is>
          <t>Avoid discounting immediately.</t>
        </is>
      </c>
    </row>
    <row r="3">
      <c r="A3" s="2" t="inlineStr">
        <is>
          <t>Happy with current software</t>
        </is>
      </c>
      <c r="B3" s="2" t="inlineStr">
        <is>
          <t>Competition</t>
        </is>
      </c>
      <c r="C3" s="2" t="inlineStr">
        <is>
          <t>Ask what they like and where gaps remain.</t>
        </is>
      </c>
      <c r="D3" s="2" t="inlineStr">
        <is>
          <t>Research their stack.</t>
        </is>
      </c>
      <c r="E3" s="2" t="inlineStr">
        <is>
          <t>Position consolidation.</t>
        </is>
      </c>
    </row>
    <row r="4">
      <c r="A4" s="2" t="inlineStr">
        <is>
          <t>Not right now</t>
        </is>
      </c>
      <c r="B4" s="2" t="inlineStr">
        <is>
          <t>Timing</t>
        </is>
      </c>
      <c r="C4" s="2" t="inlineStr">
        <is>
          <t>Ask when the problem becomes relevant.</t>
        </is>
      </c>
      <c r="D4" s="2" t="inlineStr">
        <is>
          <t>Create nurture follow-up.</t>
        </is>
      </c>
      <c r="E4" s="2" t="inlineStr">
        <is>
          <t>Capture timing.</t>
        </is>
      </c>
    </row>
    <row r="5">
      <c r="A5" s="2" t="inlineStr">
        <is>
          <t>Need online payments</t>
        </is>
      </c>
      <c r="B5" s="2" t="inlineStr">
        <is>
          <t>Feature</t>
        </is>
      </c>
      <c r="C5" s="2" t="inlineStr">
        <is>
          <t>Qualify their payment workflow and explain processor fees are direct where supported.</t>
        </is>
      </c>
      <c r="D5" s="2" t="inlineStr">
        <is>
          <t>Track feature gap.</t>
        </is>
      </c>
      <c r="E5" s="2" t="inlineStr">
        <is>
          <t>Never overpromise.</t>
        </is>
      </c>
    </row>
    <row r="6">
      <c r="A6" s="2" t="inlineStr">
        <is>
          <t>Need shipping</t>
        </is>
      </c>
      <c r="B6" s="2" t="inlineStr">
        <is>
          <t>Feature</t>
        </is>
      </c>
      <c r="C6" s="2" t="inlineStr">
        <is>
          <t>Qualify whether shipping is core.</t>
        </is>
      </c>
      <c r="D6" s="2" t="inlineStr">
        <is>
          <t>Nurture/disqualify if critical.</t>
        </is>
      </c>
      <c r="E6" s="2" t="inlineStr">
        <is>
          <t>Prioritize service businesses.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1:$E$6"/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9" min="1" max="6"/>
    <col width="8.710000000000001" customWidth="1" style="19" min="7" max="26"/>
  </cols>
  <sheetData>
    <row r="1" ht="30" customHeight="1" s="19">
      <c r="A1" s="17" t="inlineStr">
        <is>
          <t>Template ID</t>
        </is>
      </c>
      <c r="B1" s="17" t="inlineStr">
        <is>
          <t>Template Type</t>
        </is>
      </c>
      <c r="C1" s="17" t="inlineStr">
        <is>
          <t>Use Case</t>
        </is>
      </c>
      <c r="D1" s="17" t="inlineStr">
        <is>
          <t>Subject</t>
        </is>
      </c>
      <c r="E1" s="17" t="inlineStr">
        <is>
          <t>Template</t>
        </is>
      </c>
      <c r="F1" s="17" t="inlineStr">
        <is>
          <t>Notes</t>
        </is>
      </c>
    </row>
    <row r="2">
      <c r="A2" s="2" t="inlineStr">
        <is>
          <t>T001</t>
        </is>
      </c>
      <c r="B2" s="2" t="inlineStr">
        <is>
          <t>Call</t>
        </is>
      </c>
      <c r="C2" s="2" t="inlineStr">
        <is>
          <t>Cold call opener</t>
        </is>
      </c>
      <c r="E2" s="2" t="inlineStr">
        <is>
          <t>Hi [NAME], this is [NAME] with Peak. I was looking at [BUSINESS] and wanted to ask how you're currently handling [BOOKING / CUSTOMER MANAGEMENT / WEBSITE].</t>
        </is>
      </c>
      <c r="F2" s="2" t="inlineStr">
        <is>
          <t>Personalize the pain point.</t>
        </is>
      </c>
    </row>
    <row r="3">
      <c r="A3" s="2" t="inlineStr">
        <is>
          <t>T002</t>
        </is>
      </c>
      <c r="B3" s="2" t="inlineStr">
        <is>
          <t>Voicemail</t>
        </is>
      </c>
      <c r="C3" s="2" t="inlineStr">
        <is>
          <t>No answer</t>
        </is>
      </c>
      <c r="E3" s="2" t="inlineStr">
        <is>
          <t>Hi [NAME], this is [NAME] with Peak. I had a quick question about how you're currently handling [PAIN POINT]. I'll try you again [DAY].</t>
        </is>
      </c>
      <c r="F3" s="2" t="inlineStr">
        <is>
          <t>Keep under 20 seconds.</t>
        </is>
      </c>
    </row>
    <row r="4">
      <c r="A4" s="2" t="inlineStr">
        <is>
          <t>T003</t>
        </is>
      </c>
      <c r="B4" s="2" t="inlineStr">
        <is>
          <t>Email</t>
        </is>
      </c>
      <c r="C4" s="2" t="inlineStr">
        <is>
          <t>First touch</t>
        </is>
      </c>
      <c r="D4" s="2" t="inlineStr">
        <is>
          <t>Quick question about [BUSINESS]</t>
        </is>
      </c>
      <c r="E4" s="2" t="inlineStr">
        <is>
          <t>Hi [NAME], I came across [BUSINESS] and noticed [OBSERVATION]. Peak combines [FEATURES] into one platform. I wanted to see if [PAIN POINT] is something you're dealing with.</t>
        </is>
      </c>
      <c r="F4" s="2" t="inlineStr">
        <is>
          <t>Personalize observation.</t>
        </is>
      </c>
    </row>
    <row r="5">
      <c r="A5" s="2" t="inlineStr">
        <is>
          <t>T004</t>
        </is>
      </c>
      <c r="B5" s="2" t="inlineStr">
        <is>
          <t>Follow-Up</t>
        </is>
      </c>
      <c r="C5" s="2" t="inlineStr">
        <is>
          <t>After initial contact</t>
        </is>
      </c>
      <c r="D5" s="2" t="inlineStr">
        <is>
          <t>Following up — [BUSINESS]</t>
        </is>
      </c>
      <c r="E5" s="2" t="inlineStr">
        <is>
          <t>Hi [NAME], just following up on my note about [PAIN POINT]. If you're already happy with your setup, no problem — I was mainly curious whether [SPECIFIC ISSUE] is on your radar.</t>
        </is>
      </c>
      <c r="F5" s="2" t="inlineStr">
        <is>
          <t>Low pressure.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1:$F$5"/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9" min="1" max="5"/>
    <col width="8.710000000000001" customWidth="1" style="19" min="6" max="26"/>
  </cols>
  <sheetData>
    <row r="1" ht="30" customHeight="1" s="19">
      <c r="A1" s="17" t="inlineStr">
        <is>
          <t>Score Component</t>
        </is>
      </c>
      <c r="B1" s="17" t="inlineStr">
        <is>
          <t>Weight</t>
        </is>
      </c>
      <c r="C1" s="17" t="inlineStr">
        <is>
          <t>How Scored</t>
        </is>
      </c>
      <c r="D1" s="17" t="inlineStr">
        <is>
          <t>Data Inputs</t>
        </is>
      </c>
      <c r="E1" s="17" t="inlineStr">
        <is>
          <t>Purpose</t>
        </is>
      </c>
    </row>
    <row r="2">
      <c r="A2" s="2" t="inlineStr">
        <is>
          <t>Fit Score</t>
        </is>
      </c>
      <c r="B2" s="2" t="n">
        <v>0.25</v>
      </c>
      <c r="C2" s="2" t="inlineStr">
        <is>
          <t>0-100</t>
        </is>
      </c>
      <c r="D2" s="2" t="inlineStr">
        <is>
          <t>Industry, business model, size, workflow</t>
        </is>
      </c>
      <c r="E2" s="2" t="inlineStr">
        <is>
          <t>How well Peak fits</t>
        </is>
      </c>
    </row>
    <row r="3">
      <c r="A3" s="2" t="inlineStr">
        <is>
          <t>Engagement Score</t>
        </is>
      </c>
      <c r="B3" s="2" t="n">
        <v>0.25</v>
      </c>
      <c r="C3" s="2" t="inlineStr">
        <is>
          <t>0-100</t>
        </is>
      </c>
      <c r="D3" s="2" t="inlineStr">
        <is>
          <t>Responses, activity, meetings, recency</t>
        </is>
      </c>
      <c r="E3" s="2" t="inlineStr">
        <is>
          <t>Interest</t>
        </is>
      </c>
    </row>
    <row r="4">
      <c r="A4" s="2" t="inlineStr">
        <is>
          <t>Buying Potential</t>
        </is>
      </c>
      <c r="B4" s="2" t="n">
        <v>0.25</v>
      </c>
      <c r="C4" s="2" t="inlineStr">
        <is>
          <t>0-100</t>
        </is>
      </c>
      <c r="D4" s="2" t="inlineStr">
        <is>
          <t>Size, revenue, locations, pain severity</t>
        </is>
      </c>
      <c r="E4" s="2" t="inlineStr">
        <is>
          <t>Commercial potential</t>
        </is>
      </c>
    </row>
    <row r="5">
      <c r="A5" s="2" t="inlineStr">
        <is>
          <t>Accessibility</t>
        </is>
      </c>
      <c r="B5" s="2" t="n">
        <v>0.25</v>
      </c>
      <c r="C5" s="2" t="inlineStr">
        <is>
          <t>0-100</t>
        </is>
      </c>
      <c r="D5" s="2" t="inlineStr">
        <is>
          <t>Decision-maker and valid contacts</t>
        </is>
      </c>
      <c r="E5" s="2" t="inlineStr">
        <is>
          <t>Reachability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1:$E$5"/>
  <pageMargins left="0.75" right="0.75" top="1" bottom="1" header="0" footer="0"/>
  <pageSetup orientation="landscape" fitToHeight="0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9" min="1" max="3"/>
    <col width="8.710000000000001" customWidth="1" style="19" min="4" max="26"/>
  </cols>
  <sheetData>
    <row r="1" ht="30" customHeight="1" s="19">
      <c r="A1" s="17" t="inlineStr">
        <is>
          <t>Metric</t>
        </is>
      </c>
      <c r="B1" s="17" t="inlineStr">
        <is>
          <t>Value</t>
        </is>
      </c>
      <c r="C1" s="17" t="inlineStr">
        <is>
          <t>Definition</t>
        </is>
      </c>
    </row>
    <row r="2">
      <c r="A2" s="18" t="inlineStr">
        <is>
          <t>Calls</t>
        </is>
      </c>
      <c r="B2" s="18">
        <f>COUNTIF(Activities!F:F,"Call")</f>
        <v/>
      </c>
      <c r="C2" s="18" t="inlineStr">
        <is>
          <t>Logged calls</t>
        </is>
      </c>
    </row>
    <row r="3">
      <c r="A3" s="18" t="inlineStr">
        <is>
          <t>Emails</t>
        </is>
      </c>
      <c r="B3" s="18">
        <f>COUNTIF(Activities!F:F,"Email")</f>
        <v/>
      </c>
      <c r="C3" s="18" t="inlineStr">
        <is>
          <t>Logged emails</t>
        </is>
      </c>
    </row>
    <row r="4">
      <c r="A4" s="18" t="inlineStr">
        <is>
          <t>Meetings</t>
        </is>
      </c>
      <c r="B4" s="18">
        <f>COUNTIF(Activities!F:F,"Meeting")</f>
        <v/>
      </c>
      <c r="C4" s="18" t="inlineStr">
        <is>
          <t>Logged meetings</t>
        </is>
      </c>
    </row>
    <row r="5">
      <c r="A5" s="18" t="inlineStr">
        <is>
          <t>Demos</t>
        </is>
      </c>
      <c r="B5" s="18">
        <f>COUNTIF(Activities!F:F,"Demo")</f>
        <v/>
      </c>
      <c r="C5" s="18" t="inlineStr">
        <is>
          <t>Logged demos</t>
        </is>
      </c>
    </row>
    <row r="6">
      <c r="A6" s="18" t="inlineStr">
        <is>
          <t>Proposals</t>
        </is>
      </c>
      <c r="B6" s="18">
        <f>COUNTIF(Activities!F:F,"Proposal")</f>
        <v/>
      </c>
      <c r="C6" s="18" t="inlineStr">
        <is>
          <t>Logged proposal activities</t>
        </is>
      </c>
    </row>
    <row r="7">
      <c r="A7" s="18" t="inlineStr">
        <is>
          <t>Wins</t>
        </is>
      </c>
      <c r="B7" s="18">
        <f>COUNTIF(Activities!J:J,"Won")</f>
        <v/>
      </c>
      <c r="C7" s="18" t="inlineStr">
        <is>
          <t>Activities marked won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5" right="0.75" top="1" bottom="1" header="0" footer="0"/>
  <pageSetup orientation="landscape"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9" min="1" max="3"/>
    <col width="8.710000000000001" customWidth="1" style="19" min="4" max="26"/>
  </cols>
  <sheetData>
    <row r="1" ht="30" customHeight="1" s="19">
      <c r="A1" s="17" t="inlineStr">
        <is>
          <t>Metric</t>
        </is>
      </c>
      <c r="B1" s="17" t="inlineStr">
        <is>
          <t>Value</t>
        </is>
      </c>
      <c r="C1" s="17" t="inlineStr">
        <is>
          <t>Definition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5" right="0.75" top="1" bottom="1" header="0" footer="0"/>
  <pageSetup orientation="landscape"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9" min="1" max="4"/>
    <col width="8.710000000000001" customWidth="1" style="19" min="5" max="26"/>
  </cols>
  <sheetData>
    <row r="1" ht="30" customHeight="1" s="19">
      <c r="A1" s="17" t="inlineStr">
        <is>
          <t>Stage</t>
        </is>
      </c>
      <c r="B1" s="17" t="inlineStr">
        <is>
          <t>Count</t>
        </is>
      </c>
      <c r="C1" s="17" t="inlineStr">
        <is>
          <t>Converted From Previous</t>
        </is>
      </c>
      <c r="D1" s="17" t="inlineStr">
        <is>
          <t>Conversion %</t>
        </is>
      </c>
    </row>
    <row r="2">
      <c r="A2" s="18" t="inlineStr">
        <is>
          <t>Lead</t>
        </is>
      </c>
      <c r="B2" s="18">
        <f>COUNTA(Leads!A2:A501)</f>
        <v/>
      </c>
    </row>
    <row r="3">
      <c r="A3" s="18" t="inlineStr">
        <is>
          <t>Contacted</t>
        </is>
      </c>
      <c r="B3" s="18">
        <f>COUNTIF(Leads!AB2:AB501,"Contacted")</f>
        <v/>
      </c>
      <c r="D3" s="18">
        <f>IFERROR(B3/B2,0)</f>
        <v/>
      </c>
    </row>
    <row r="4">
      <c r="A4" s="18" t="inlineStr">
        <is>
          <t>Engaged</t>
        </is>
      </c>
      <c r="B4" s="18">
        <f>COUNTIF(Leads!AB2:AB501,"Engaged")</f>
        <v/>
      </c>
      <c r="D4" s="18">
        <f>IFERROR(B4/B3,0)</f>
        <v/>
      </c>
    </row>
    <row r="5">
      <c r="A5" s="18" t="inlineStr">
        <is>
          <t>Qualified</t>
        </is>
      </c>
      <c r="B5" s="18">
        <f>COUNTIF(Leads!AB2:AB501,"Qualified")</f>
        <v/>
      </c>
      <c r="D5" s="18">
        <f>IFERROR(B5/B4,0)</f>
        <v/>
      </c>
    </row>
    <row r="6">
      <c r="A6" s="18" t="inlineStr">
        <is>
          <t>Demo</t>
        </is>
      </c>
      <c r="B6" s="18">
        <f>COUNTIF(Leads!BO2:BO501,"Demo Booked")+COUNTIF(Leads!BO2:BO501,"Demo Completed")</f>
        <v/>
      </c>
      <c r="D6" s="18">
        <f>IFERROR(B6/B5,0)</f>
        <v/>
      </c>
    </row>
    <row r="7">
      <c r="A7" s="18" t="inlineStr">
        <is>
          <t>Proposal</t>
        </is>
      </c>
      <c r="B7" s="18">
        <f>COUNTIF(Leads!BO2:BO501,"Proposal")</f>
        <v/>
      </c>
      <c r="D7" s="18">
        <f>IFERROR(B7/B6,0)</f>
        <v/>
      </c>
    </row>
    <row r="8">
      <c r="A8" s="18" t="inlineStr">
        <is>
          <t>Won</t>
        </is>
      </c>
      <c r="B8" s="18">
        <f>COUNTIF(Leads!AB2:AB501,"Customer")</f>
        <v/>
      </c>
      <c r="D8" s="18">
        <f>IFERROR(B8/B7,0)</f>
        <v/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5" right="0.75" top="1" bottom="1" header="0" footer="0"/>
  <pageSetup orientation="landscape" fitToHeight="0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9" min="1" max="3"/>
    <col width="8.710000000000001" customWidth="1" style="19" min="4" max="26"/>
  </cols>
  <sheetData>
    <row r="1" ht="30" customHeight="1" s="19">
      <c r="A1" s="17" t="inlineStr">
        <is>
          <t>Metric</t>
        </is>
      </c>
      <c r="B1" s="17" t="inlineStr">
        <is>
          <t>Value</t>
        </is>
      </c>
      <c r="C1" s="17" t="inlineStr">
        <is>
          <t>Definition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5" right="0.75" top="1" bottom="1" header="0" footer="0"/>
  <pageSetup orientation="landscape" fitToHeight="0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9" min="1" max="7"/>
    <col width="8.710000000000001" customWidth="1" style="19" min="8" max="26"/>
  </cols>
  <sheetData>
    <row r="1" ht="30" customHeight="1" s="19">
      <c r="A1" s="17" t="inlineStr">
        <is>
          <t>Country</t>
        </is>
      </c>
      <c r="B1" s="17" t="inlineStr">
        <is>
          <t>Province/State</t>
        </is>
      </c>
      <c r="C1" s="17" t="inlineStr">
        <is>
          <t>City</t>
        </is>
      </c>
      <c r="D1" s="17" t="inlineStr">
        <is>
          <t>Postal/ZIP</t>
        </is>
      </c>
      <c r="E1" s="17" t="inlineStr">
        <is>
          <t>Territory</t>
        </is>
      </c>
      <c r="F1" s="17" t="inlineStr">
        <is>
          <t>Market</t>
        </is>
      </c>
      <c r="G1" s="17" t="inlineStr">
        <is>
          <t>Notes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5" right="0.75" top="1" bottom="1" header="0" footer="0"/>
  <pageSetup orientation="landscape" fitToHeight="0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9" min="1" max="3"/>
    <col width="8.710000000000001" customWidth="1" style="19" min="4" max="26"/>
  </cols>
  <sheetData>
    <row r="1" ht="30" customHeight="1" s="19">
      <c r="A1" s="17" t="inlineStr">
        <is>
          <t>Setting</t>
        </is>
      </c>
      <c r="B1" s="17" t="inlineStr">
        <is>
          <t>Value</t>
        </is>
      </c>
      <c r="C1" s="17" t="inlineStr">
        <is>
          <t>Description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5" right="0.75" top="1" bottom="1" header="0" footer="0"/>
  <pageSetup orientation="landscape" fitToHeight="0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W1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9" min="1" max="26"/>
  </cols>
  <sheetData>
    <row r="1">
      <c r="A1" s="18" t="inlineStr">
        <is>
          <t>Lead Status</t>
        </is>
      </c>
      <c r="B1" s="18" t="inlineStr">
        <is>
          <t>Lead Source</t>
        </is>
      </c>
      <c r="C1" s="18" t="inlineStr">
        <is>
          <t>Contact Method</t>
        </is>
      </c>
      <c r="D1" s="18" t="inlineStr">
        <is>
          <t>Activity Type</t>
        </is>
      </c>
      <c r="E1" s="18" t="inlineStr">
        <is>
          <t>Activity Outcome</t>
        </is>
      </c>
      <c r="F1" s="18" t="inlineStr">
        <is>
          <t>Pipeline Stage</t>
        </is>
      </c>
      <c r="G1" s="18" t="inlineStr">
        <is>
          <t>Priority</t>
        </is>
      </c>
      <c r="H1" s="18" t="inlineStr">
        <is>
          <t>Decision Maker</t>
        </is>
      </c>
      <c r="I1" s="18" t="inlineStr">
        <is>
          <t>Yes No</t>
        </is>
      </c>
      <c r="J1" s="18" t="inlineStr">
        <is>
          <t>Website Quality</t>
        </is>
      </c>
      <c r="K1" s="18" t="inlineStr">
        <is>
          <t>Business Size</t>
        </is>
      </c>
      <c r="L1" s="18" t="inlineStr">
        <is>
          <t>Pain Point</t>
        </is>
      </c>
      <c r="M1" s="18" t="inlineStr">
        <is>
          <t>Lost Reason</t>
        </is>
      </c>
      <c r="N1" s="18" t="inlineStr">
        <is>
          <t>Website Platform</t>
        </is>
      </c>
      <c r="O1" s="18" t="inlineStr">
        <is>
          <t>Follow-Up Type</t>
        </is>
      </c>
      <c r="P1" s="18" t="inlineStr">
        <is>
          <t>Plan</t>
        </is>
      </c>
      <c r="Q1" s="18" t="inlineStr">
        <is>
          <t>Currency</t>
        </is>
      </c>
      <c r="R1" s="18" t="inlineStr">
        <is>
          <t>Contact Role</t>
        </is>
      </c>
      <c r="S1" s="18" t="inlineStr">
        <is>
          <t>Business Type</t>
        </is>
      </c>
      <c r="T1" s="18" t="inlineStr">
        <is>
          <t>Source Quality</t>
        </is>
      </c>
      <c r="U1" s="18" t="inlineStr">
        <is>
          <t>Customer Status</t>
        </is>
      </c>
      <c r="V1" s="18" t="inlineStr">
        <is>
          <t>Research Quality</t>
        </is>
      </c>
      <c r="W1" s="18" t="inlineStr">
        <is>
          <t>Follow-Up Status</t>
        </is>
      </c>
    </row>
    <row r="2">
      <c r="A2" s="18" t="inlineStr">
        <is>
          <t>New</t>
        </is>
      </c>
      <c r="B2" s="18" t="inlineStr">
        <is>
          <t>Google Maps</t>
        </is>
      </c>
      <c r="C2" s="18" t="inlineStr">
        <is>
          <t>Phone</t>
        </is>
      </c>
      <c r="D2" s="18" t="inlineStr">
        <is>
          <t>Call</t>
        </is>
      </c>
      <c r="E2" s="18" t="inlineStr">
        <is>
          <t>No Answer</t>
        </is>
      </c>
      <c r="F2" s="18" t="inlineStr">
        <is>
          <t>Not Qualified</t>
        </is>
      </c>
      <c r="G2" s="18" t="inlineStr">
        <is>
          <t>Critical</t>
        </is>
      </c>
      <c r="H2" s="18" t="inlineStr">
        <is>
          <t>Yes</t>
        </is>
      </c>
      <c r="I2" s="18" t="inlineStr">
        <is>
          <t>Yes</t>
        </is>
      </c>
      <c r="J2" s="18" t="inlineStr">
        <is>
          <t>No Website</t>
        </is>
      </c>
      <c r="K2" s="18" t="inlineStr">
        <is>
          <t>Solo</t>
        </is>
      </c>
      <c r="L2" s="18" t="inlineStr">
        <is>
          <t>No Website</t>
        </is>
      </c>
      <c r="M2" s="18" t="inlineStr">
        <is>
          <t>Price</t>
        </is>
      </c>
      <c r="N2" s="18" t="inlineStr">
        <is>
          <t>Shopify</t>
        </is>
      </c>
      <c r="O2" s="18" t="inlineStr">
        <is>
          <t>Call</t>
        </is>
      </c>
      <c r="P2" s="18" t="inlineStr">
        <is>
          <t>Free</t>
        </is>
      </c>
      <c r="Q2" s="18" t="inlineStr">
        <is>
          <t>CAD</t>
        </is>
      </c>
      <c r="R2" s="18" t="inlineStr">
        <is>
          <t>Owner</t>
        </is>
      </c>
      <c r="S2" s="18" t="inlineStr">
        <is>
          <t>Sole Proprietor</t>
        </is>
      </c>
      <c r="T2" s="18" t="inlineStr">
        <is>
          <t>Excellent</t>
        </is>
      </c>
      <c r="U2" s="18" t="inlineStr">
        <is>
          <t>Prospect</t>
        </is>
      </c>
      <c r="V2" s="18" t="inlineStr">
        <is>
          <t>High</t>
        </is>
      </c>
      <c r="W2" s="18" t="inlineStr">
        <is>
          <t>Planned</t>
        </is>
      </c>
    </row>
    <row r="3">
      <c r="A3" s="18" t="inlineStr">
        <is>
          <t>Researching</t>
        </is>
      </c>
      <c r="B3" s="18" t="inlineStr">
        <is>
          <t>Google Search</t>
        </is>
      </c>
      <c r="C3" s="18" t="inlineStr">
        <is>
          <t>Email</t>
        </is>
      </c>
      <c r="D3" s="18" t="inlineStr">
        <is>
          <t>Voicemail</t>
        </is>
      </c>
      <c r="E3" s="18" t="inlineStr">
        <is>
          <t>Voicemail Left</t>
        </is>
      </c>
      <c r="F3" s="18" t="inlineStr">
        <is>
          <t>Qualified</t>
        </is>
      </c>
      <c r="G3" s="18" t="inlineStr">
        <is>
          <t>High</t>
        </is>
      </c>
      <c r="H3" s="18" t="inlineStr">
        <is>
          <t>No</t>
        </is>
      </c>
      <c r="I3" s="18" t="inlineStr">
        <is>
          <t>No</t>
        </is>
      </c>
      <c r="J3" s="18" t="inlineStr">
        <is>
          <t>Poor</t>
        </is>
      </c>
      <c r="K3" s="18" t="inlineStr">
        <is>
          <t>Micro (2-9)</t>
        </is>
      </c>
      <c r="L3" s="18" t="inlineStr">
        <is>
          <t>Outdated Website</t>
        </is>
      </c>
      <c r="M3" s="18" t="inlineStr">
        <is>
          <t>No Need</t>
        </is>
      </c>
      <c r="N3" s="18" t="inlineStr">
        <is>
          <t>Wix</t>
        </is>
      </c>
      <c r="O3" s="18" t="inlineStr">
        <is>
          <t>Email</t>
        </is>
      </c>
      <c r="P3" s="18" t="inlineStr">
        <is>
          <t>Starter</t>
        </is>
      </c>
      <c r="Q3" s="18" t="inlineStr">
        <is>
          <t>USD</t>
        </is>
      </c>
      <c r="R3" s="18" t="inlineStr">
        <is>
          <t>Founder</t>
        </is>
      </c>
      <c r="S3" s="18" t="inlineStr">
        <is>
          <t>Partnership</t>
        </is>
      </c>
      <c r="T3" s="18" t="inlineStr">
        <is>
          <t>Good</t>
        </is>
      </c>
      <c r="U3" s="18" t="inlineStr">
        <is>
          <t>Customer</t>
        </is>
      </c>
      <c r="V3" s="18" t="inlineStr">
        <is>
          <t>Medium</t>
        </is>
      </c>
      <c r="W3" s="18" t="inlineStr">
        <is>
          <t>Due Today</t>
        </is>
      </c>
    </row>
    <row r="4">
      <c r="A4" s="18" t="inlineStr">
        <is>
          <t>Ready to Contact</t>
        </is>
      </c>
      <c r="B4" s="18" t="inlineStr">
        <is>
          <t>Instagram</t>
        </is>
      </c>
      <c r="C4" s="18" t="inlineStr">
        <is>
          <t>SMS</t>
        </is>
      </c>
      <c r="D4" s="18" t="inlineStr">
        <is>
          <t>Email</t>
        </is>
      </c>
      <c r="E4" s="18" t="inlineStr">
        <is>
          <t>Connected</t>
        </is>
      </c>
      <c r="F4" s="18" t="inlineStr">
        <is>
          <t>Discovery</t>
        </is>
      </c>
      <c r="G4" s="18" t="inlineStr">
        <is>
          <t>Medium</t>
        </is>
      </c>
      <c r="H4" s="18" t="inlineStr">
        <is>
          <t>Unknown</t>
        </is>
      </c>
      <c r="I4" s="18" t="inlineStr">
        <is>
          <t>Unknown</t>
        </is>
      </c>
      <c r="J4" s="18" t="inlineStr">
        <is>
          <t>Basic</t>
        </is>
      </c>
      <c r="K4" s="18" t="inlineStr">
        <is>
          <t>Small (10-49)</t>
        </is>
      </c>
      <c r="L4" s="18" t="inlineStr">
        <is>
          <t>Poor Mobile Experience</t>
        </is>
      </c>
      <c r="M4" s="18" t="inlineStr">
        <is>
          <t>Timing</t>
        </is>
      </c>
      <c r="N4" s="18" t="inlineStr">
        <is>
          <t>Squarespace</t>
        </is>
      </c>
      <c r="O4" s="18" t="inlineStr">
        <is>
          <t>SMS</t>
        </is>
      </c>
      <c r="P4" s="18" t="inlineStr">
        <is>
          <t>Grow</t>
        </is>
      </c>
      <c r="R4" s="18" t="inlineStr">
        <is>
          <t>Co-Founder</t>
        </is>
      </c>
      <c r="S4" s="18" t="inlineStr">
        <is>
          <t>Corporation</t>
        </is>
      </c>
      <c r="T4" s="18" t="inlineStr">
        <is>
          <t>Fair</t>
        </is>
      </c>
      <c r="U4" s="18" t="inlineStr">
        <is>
          <t>Former Customer</t>
        </is>
      </c>
      <c r="V4" s="18" t="inlineStr">
        <is>
          <t>Low</t>
        </is>
      </c>
      <c r="W4" s="18" t="inlineStr">
        <is>
          <t>Overdue</t>
        </is>
      </c>
    </row>
    <row r="5">
      <c r="A5" s="18" t="inlineStr">
        <is>
          <t>Contacted</t>
        </is>
      </c>
      <c r="B5" s="18" t="inlineStr">
        <is>
          <t>Facebook</t>
        </is>
      </c>
      <c r="C5" s="18" t="inlineStr">
        <is>
          <t>Instagram DM</t>
        </is>
      </c>
      <c r="D5" s="18" t="inlineStr">
        <is>
          <t>SMS</t>
        </is>
      </c>
      <c r="E5" s="18" t="inlineStr">
        <is>
          <t>Interested</t>
        </is>
      </c>
      <c r="F5" s="18" t="inlineStr">
        <is>
          <t>Demo Booked</t>
        </is>
      </c>
      <c r="G5" s="18" t="inlineStr">
        <is>
          <t>Low</t>
        </is>
      </c>
      <c r="J5" s="18" t="inlineStr">
        <is>
          <t>Good</t>
        </is>
      </c>
      <c r="K5" s="18" t="inlineStr">
        <is>
          <t>Medium (50-249)</t>
        </is>
      </c>
      <c r="L5" s="18" t="inlineStr">
        <is>
          <t>No Booking</t>
        </is>
      </c>
      <c r="M5" s="18" t="inlineStr">
        <is>
          <t>Chose Competitor</t>
        </is>
      </c>
      <c r="N5" s="18" t="inlineStr">
        <is>
          <t>WordPress</t>
        </is>
      </c>
      <c r="O5" s="18" t="inlineStr">
        <is>
          <t>DM</t>
        </is>
      </c>
      <c r="P5" s="18" t="inlineStr">
        <is>
          <t>Pro</t>
        </is>
      </c>
      <c r="R5" s="18" t="inlineStr">
        <is>
          <t>CEO</t>
        </is>
      </c>
      <c r="S5" s="18" t="inlineStr">
        <is>
          <t>Franchise</t>
        </is>
      </c>
      <c r="T5" s="18" t="inlineStr">
        <is>
          <t>Poor</t>
        </is>
      </c>
      <c r="U5" s="18" t="inlineStr">
        <is>
          <t>Expansion</t>
        </is>
      </c>
      <c r="V5" s="18" t="inlineStr">
        <is>
          <t>Unknown</t>
        </is>
      </c>
      <c r="W5" s="18" t="inlineStr">
        <is>
          <t>Completed</t>
        </is>
      </c>
    </row>
    <row r="6">
      <c r="A6" s="18" t="inlineStr">
        <is>
          <t>Engaged</t>
        </is>
      </c>
      <c r="B6" s="18" t="inlineStr">
        <is>
          <t>LinkedIn</t>
        </is>
      </c>
      <c r="C6" s="18" t="inlineStr">
        <is>
          <t>Facebook Messenger</t>
        </is>
      </c>
      <c r="D6" s="18" t="inlineStr">
        <is>
          <t>DM</t>
        </is>
      </c>
      <c r="E6" s="18" t="inlineStr">
        <is>
          <t>Not Interested</t>
        </is>
      </c>
      <c r="F6" s="18" t="inlineStr">
        <is>
          <t>Demo Completed</t>
        </is>
      </c>
      <c r="G6" s="18" t="inlineStr">
        <is>
          <t>Nurture</t>
        </is>
      </c>
      <c r="J6" s="18" t="inlineStr">
        <is>
          <t>Excellent</t>
        </is>
      </c>
      <c r="K6" s="18" t="inlineStr">
        <is>
          <t>Large (250+)</t>
        </is>
      </c>
      <c r="L6" s="18" t="inlineStr">
        <is>
          <t>Phone-Only Booking</t>
        </is>
      </c>
      <c r="M6" s="18" t="inlineStr">
        <is>
          <t>Built In-House</t>
        </is>
      </c>
      <c r="N6" s="18" t="inlineStr">
        <is>
          <t>GoDaddy</t>
        </is>
      </c>
      <c r="O6" s="18" t="inlineStr">
        <is>
          <t>Meeting</t>
        </is>
      </c>
      <c r="P6" s="18" t="inlineStr">
        <is>
          <t>Enterprise</t>
        </is>
      </c>
      <c r="R6" s="18" t="inlineStr">
        <is>
          <t>General Manager</t>
        </is>
      </c>
      <c r="S6" s="18" t="inlineStr">
        <is>
          <t>Nonprofit</t>
        </is>
      </c>
      <c r="T6" s="18" t="inlineStr">
        <is>
          <t>Unknown</t>
        </is>
      </c>
      <c r="U6" s="18" t="inlineStr">
        <is>
          <t>Churned</t>
        </is>
      </c>
      <c r="W6" s="18" t="inlineStr">
        <is>
          <t>Skipped</t>
        </is>
      </c>
    </row>
    <row r="7">
      <c r="A7" s="18" t="inlineStr">
        <is>
          <t>Qualified</t>
        </is>
      </c>
      <c r="B7" s="18" t="inlineStr">
        <is>
          <t>Yelp</t>
        </is>
      </c>
      <c r="C7" s="18" t="inlineStr">
        <is>
          <t>LinkedIn</t>
        </is>
      </c>
      <c r="D7" s="18" t="inlineStr">
        <is>
          <t>Meeting</t>
        </is>
      </c>
      <c r="E7" s="18" t="inlineStr">
        <is>
          <t>Callback Requested</t>
        </is>
      </c>
      <c r="F7" s="18" t="inlineStr">
        <is>
          <t>Proposal</t>
        </is>
      </c>
      <c r="J7" s="18" t="inlineStr">
        <is>
          <t>Unknown</t>
        </is>
      </c>
      <c r="K7" s="18" t="inlineStr">
        <is>
          <t>Unknown</t>
        </is>
      </c>
      <c r="L7" s="18" t="inlineStr">
        <is>
          <t>Manual Invoicing</t>
        </is>
      </c>
      <c r="M7" s="18" t="inlineStr">
        <is>
          <t>Unresponsive</t>
        </is>
      </c>
      <c r="N7" s="18" t="inlineStr">
        <is>
          <t>Webflow</t>
        </is>
      </c>
      <c r="O7" s="18" t="inlineStr">
        <is>
          <t>Demo</t>
        </is>
      </c>
      <c r="P7" s="18" t="inlineStr">
        <is>
          <t>Undetermined</t>
        </is>
      </c>
      <c r="R7" s="18" t="inlineStr">
        <is>
          <t>Manager</t>
        </is>
      </c>
      <c r="S7" s="18" t="inlineStr">
        <is>
          <t>Unknown</t>
        </is>
      </c>
    </row>
    <row r="8">
      <c r="A8" s="18" t="inlineStr">
        <is>
          <t>Nurture</t>
        </is>
      </c>
      <c r="B8" s="18" t="inlineStr">
        <is>
          <t>Directory</t>
        </is>
      </c>
      <c r="C8" s="18" t="inlineStr">
        <is>
          <t>In Person</t>
        </is>
      </c>
      <c r="D8" s="18" t="inlineStr">
        <is>
          <t>Demo</t>
        </is>
      </c>
      <c r="E8" s="18" t="inlineStr">
        <is>
          <t>Qualified</t>
        </is>
      </c>
      <c r="F8" s="18" t="inlineStr">
        <is>
          <t>Negotiation</t>
        </is>
      </c>
      <c r="L8" s="18" t="inlineStr">
        <is>
          <t>No Customer Database</t>
        </is>
      </c>
      <c r="M8" s="18" t="inlineStr">
        <is>
          <t>Not a Fit</t>
        </is>
      </c>
      <c r="N8" s="18" t="inlineStr">
        <is>
          <t>Custom</t>
        </is>
      </c>
      <c r="O8" s="18" t="inlineStr">
        <is>
          <t>Proposal</t>
        </is>
      </c>
      <c r="R8" s="18" t="inlineStr">
        <is>
          <t>Marketing</t>
        </is>
      </c>
      <c r="S8" s="18" t="inlineStr">
        <is>
          <t>Other</t>
        </is>
      </c>
    </row>
    <row r="9">
      <c r="A9" s="18" t="inlineStr">
        <is>
          <t>Opportunity</t>
        </is>
      </c>
      <c r="B9" s="18" t="inlineStr">
        <is>
          <t>Referral</t>
        </is>
      </c>
      <c r="C9" s="18" t="inlineStr">
        <is>
          <t>Video Call</t>
        </is>
      </c>
      <c r="D9" s="18" t="inlineStr">
        <is>
          <t>Proposal</t>
        </is>
      </c>
      <c r="E9" s="18" t="inlineStr">
        <is>
          <t>Demo Booked</t>
        </is>
      </c>
      <c r="F9" s="18" t="inlineStr">
        <is>
          <t>Closed Won</t>
        </is>
      </c>
      <c r="L9" s="18" t="inlineStr">
        <is>
          <t>Multiple Disconnected Systems</t>
        </is>
      </c>
      <c r="M9" s="18" t="inlineStr">
        <is>
          <t>Missing Feature</t>
        </is>
      </c>
      <c r="N9" s="18" t="inlineStr">
        <is>
          <t>Facebook</t>
        </is>
      </c>
      <c r="O9" s="18" t="inlineStr">
        <is>
          <t>Re-Engagement</t>
        </is>
      </c>
      <c r="R9" s="18" t="inlineStr">
        <is>
          <t>Sales</t>
        </is>
      </c>
    </row>
    <row r="10">
      <c r="A10" s="18" t="inlineStr">
        <is>
          <t>Customer</t>
        </is>
      </c>
      <c r="B10" s="18" t="inlineStr">
        <is>
          <t>Website Research</t>
        </is>
      </c>
      <c r="C10" s="18" t="inlineStr">
        <is>
          <t>Other</t>
        </is>
      </c>
      <c r="D10" s="18" t="inlineStr">
        <is>
          <t>Follow-Up</t>
        </is>
      </c>
      <c r="E10" s="18" t="inlineStr">
        <is>
          <t>Demo Completed</t>
        </is>
      </c>
      <c r="F10" s="18" t="inlineStr">
        <is>
          <t>Closed Lost</t>
        </is>
      </c>
      <c r="L10" s="18" t="inlineStr">
        <is>
          <t>No Online Catalog</t>
        </is>
      </c>
      <c r="M10" s="18" t="inlineStr">
        <is>
          <t>Compliance</t>
        </is>
      </c>
      <c r="N10" s="18" t="inlineStr">
        <is>
          <t>Instagram</t>
        </is>
      </c>
      <c r="O10" s="18" t="inlineStr">
        <is>
          <t>Other</t>
        </is>
      </c>
      <c r="R10" s="18" t="inlineStr">
        <is>
          <t>Operations</t>
        </is>
      </c>
    </row>
    <row r="11">
      <c r="A11" s="18" t="inlineStr">
        <is>
          <t>Disqualified</t>
        </is>
      </c>
      <c r="B11" s="18" t="inlineStr">
        <is>
          <t>Cold List</t>
        </is>
      </c>
      <c r="D11" s="18" t="inlineStr">
        <is>
          <t>Research</t>
        </is>
      </c>
      <c r="E11" s="18" t="inlineStr">
        <is>
          <t>Proposal Requested</t>
        </is>
      </c>
      <c r="F11" s="18" t="inlineStr">
        <is>
          <t>Nurture</t>
        </is>
      </c>
      <c r="L11" s="18" t="inlineStr">
        <is>
          <t>No Lead Capture</t>
        </is>
      </c>
      <c r="M11" s="18" t="inlineStr">
        <is>
          <t>Other</t>
        </is>
      </c>
      <c r="N11" s="18" t="inlineStr">
        <is>
          <t>None</t>
        </is>
      </c>
      <c r="R11" s="18" t="inlineStr">
        <is>
          <t>Admin</t>
        </is>
      </c>
    </row>
    <row r="12">
      <c r="A12" s="18" t="inlineStr">
        <is>
          <t>Lost</t>
        </is>
      </c>
      <c r="B12" s="18" t="inlineStr">
        <is>
          <t>Other</t>
        </is>
      </c>
      <c r="D12" s="18" t="inlineStr">
        <is>
          <t>Other</t>
        </is>
      </c>
      <c r="E12" s="18" t="inlineStr">
        <is>
          <t>Proposal Sent</t>
        </is>
      </c>
      <c r="L12" s="18" t="inlineStr">
        <is>
          <t>No Follow-Up System</t>
        </is>
      </c>
      <c r="N12" s="18" t="inlineStr">
        <is>
          <t>Unknown</t>
        </is>
      </c>
      <c r="R12" s="18" t="inlineStr">
        <is>
          <t>Other</t>
        </is>
      </c>
    </row>
    <row r="13">
      <c r="E13" s="18" t="inlineStr">
        <is>
          <t>Won</t>
        </is>
      </c>
      <c r="L13" s="18" t="inlineStr">
        <is>
          <t>No Automation</t>
        </is>
      </c>
      <c r="N13" s="18" t="inlineStr">
        <is>
          <t>Other</t>
        </is>
      </c>
    </row>
    <row r="14">
      <c r="E14" s="18" t="inlineStr">
        <is>
          <t>Lost</t>
        </is>
      </c>
      <c r="L14" s="18" t="inlineStr">
        <is>
          <t>Poor Branding</t>
        </is>
      </c>
    </row>
    <row r="15">
      <c r="E15" s="18" t="inlineStr">
        <is>
          <t>Wrong Number</t>
        </is>
      </c>
      <c r="L15" s="18" t="inlineStr">
        <is>
          <t>No Reviews Displayed</t>
        </is>
      </c>
    </row>
    <row r="16">
      <c r="E16" s="18" t="inlineStr">
        <is>
          <t>Invalid Contact</t>
        </is>
      </c>
      <c r="L16" s="18" t="inlineStr">
        <is>
          <t>Other</t>
        </is>
      </c>
    </row>
    <row r="17">
      <c r="E17" s="18" t="inlineStr">
        <is>
          <t>Other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5" right="0.75" top="1" bottom="1" header="0" footer="0"/>
  <pageSetup orientation="landscape" fitToHeight="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Prospect ID</t>
        </is>
      </c>
      <c r="B1" s="21" t="inlineStr">
        <is>
          <t>Business Name</t>
        </is>
      </c>
      <c r="C1" s="21" t="inlineStr">
        <is>
          <t>Industry</t>
        </is>
      </c>
      <c r="D1" s="21" t="inlineStr">
        <is>
          <t>City</t>
        </is>
      </c>
      <c r="E1" s="21" t="inlineStr">
        <is>
          <t>Source</t>
        </is>
      </c>
      <c r="F1" s="21" t="inlineStr">
        <is>
          <t>Search Query</t>
        </is>
      </c>
      <c r="G1" s="21" t="inlineStr">
        <is>
          <t>Website</t>
        </is>
      </c>
      <c r="H1" s="21" t="inlineStr">
        <is>
          <t>Phone</t>
        </is>
      </c>
      <c r="I1" s="21" t="inlineStr">
        <is>
          <t>Date Added</t>
        </is>
      </c>
      <c r="J1" s="21" t="inlineStr">
        <is>
          <t>Status</t>
        </is>
      </c>
      <c r="K1" s="21" t="inlineStr">
        <is>
          <t>Assigned</t>
        </is>
      </c>
      <c r="L1" s="21" t="inlineStr">
        <is>
          <t>Notes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Prospect ID</t>
        </is>
      </c>
      <c r="B1" s="21" t="inlineStr">
        <is>
          <t>Website Quality</t>
        </is>
      </c>
      <c r="C1" s="21" t="inlineStr">
        <is>
          <t>Reviews</t>
        </is>
      </c>
      <c r="D1" s="21" t="inlineStr">
        <is>
          <t>Years in Business</t>
        </is>
      </c>
      <c r="E1" s="21" t="inlineStr">
        <is>
          <t>Social Presence</t>
        </is>
      </c>
      <c r="F1" s="21" t="inlineStr">
        <is>
          <t>Tech Stack</t>
        </is>
      </c>
      <c r="G1" s="21" t="inlineStr">
        <is>
          <t>Decision Maker</t>
        </is>
      </c>
      <c r="H1" s="21" t="inlineStr">
        <is>
          <t>Pain Points</t>
        </is>
      </c>
      <c r="I1" s="21" t="inlineStr">
        <is>
          <t>Peak Fit</t>
        </is>
      </c>
      <c r="J1" s="21" t="inlineStr">
        <is>
          <t>Seasonality</t>
        </is>
      </c>
      <c r="K1" s="21" t="inlineStr">
        <is>
          <t>Best Callback</t>
        </is>
      </c>
      <c r="L1" s="21" t="inlineStr">
        <is>
          <t>Research Notes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Date</t>
        </is>
      </c>
      <c r="B1" s="21" t="inlineStr">
        <is>
          <t>Prospect ID</t>
        </is>
      </c>
      <c r="C1" s="21" t="inlineStr">
        <is>
          <t>Business</t>
        </is>
      </c>
      <c r="D1" s="21" t="inlineStr">
        <is>
          <t>Contact</t>
        </is>
      </c>
      <c r="E1" s="21" t="inlineStr">
        <is>
          <t>Interaction</t>
        </is>
      </c>
      <c r="F1" s="21" t="inlineStr">
        <is>
          <t>Outcome</t>
        </is>
      </c>
      <c r="G1" s="21" t="inlineStr">
        <is>
          <t>Next Action</t>
        </is>
      </c>
      <c r="H1" s="21" t="inlineStr">
        <is>
          <t>Next Follow-up</t>
        </is>
      </c>
      <c r="I1" s="21" t="inlineStr">
        <is>
          <t>Timeline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2026-08-07T00:27:46Z</dcterms:created>
  <dcterms:modified xmlns:dcterms="http://purl.org/dc/terms/" xmlns:xsi="http://www.w3.org/2001/XMLSchema-instance" xsi:type="dcterms:W3CDTF">2026-08-07T00:27:46Z</dcterms:modified>
</cp:coreProperties>
</file>